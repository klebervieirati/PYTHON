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liveestacio-my.sharepoint.com/personal/202007142179_alunos_estacio_br/Documents/RECENTES VARIADOS/PLANILHAS EM CONSTRUÇÃO/CONTROLE DE VENDAS E ESTOQUE/"/>
    </mc:Choice>
  </mc:AlternateContent>
  <xr:revisionPtr revIDLastSave="4" documentId="13_ncr:1_{D1EE7CE4-9836-4547-A52A-4F00BB759700}" xr6:coauthVersionLast="47" xr6:coauthVersionMax="47" xr10:uidLastSave="{6591E4A7-F254-4D7A-B9A2-E946F606AEC1}"/>
  <bookViews>
    <workbookView xWindow="-120" yWindow="-120" windowWidth="29040" windowHeight="15840" tabRatio="864" firstSheet="1" activeTab="1" xr2:uid="{4C3FF8F4-55FF-4D63-8FEE-0DD6947B42B3}"/>
  </bookViews>
  <sheets>
    <sheet name="VENDAS" sheetId="1" r:id="rId1"/>
    <sheet name="ENTRADAS" sheetId="6" r:id="rId2"/>
    <sheet name="ESTOQUE" sheetId="5" r:id="rId3"/>
    <sheet name="RELSAIDAS" sheetId="11" r:id="rId4"/>
    <sheet name="RELENTRADAS" sheetId="12" r:id="rId5"/>
    <sheet name="CADCLIENTE" sheetId="7" r:id="rId6"/>
    <sheet name="CADFORNECEDOR" sheetId="8" r:id="rId7"/>
    <sheet name="CADPRODUTOS" sheetId="4" r:id="rId8"/>
    <sheet name="CADVENDEDOR" sheetId="9" r:id="rId9"/>
    <sheet name="BASESAIDA" sheetId="2" r:id="rId10"/>
    <sheet name="BASEENTRADA" sheetId="10" r:id="rId11"/>
  </sheets>
  <definedNames>
    <definedName name="_xlnm.Print_Area" localSheetId="1">ENTRADAS!$A$1:$F$32</definedName>
    <definedName name="_xlnm.Print_Area" localSheetId="0">VENDAS!$A$1:$F$35</definedName>
    <definedName name="CLIENTE">TBCLIENTE[NOME]</definedName>
    <definedName name="FORNECEDOR">TBFORNECEDOR[NOME]</definedName>
    <definedName name="PRODUTOS">TBPRODUTOS[Produto]</definedName>
    <definedName name="VENDEDOR">TBVENDEDOR[[NOME 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5" i="10"/>
  <c r="E14" i="2"/>
  <c r="E13" i="2"/>
  <c r="E12" i="2"/>
  <c r="E11" i="2"/>
  <c r="E14" i="10"/>
  <c r="E10" i="2"/>
  <c r="E9" i="2"/>
  <c r="E8" i="2"/>
  <c r="E13" i="10"/>
  <c r="E12" i="10" l="1"/>
  <c r="E11" i="10"/>
  <c r="E10" i="10"/>
  <c r="E9" i="10"/>
  <c r="E8" i="10"/>
  <c r="E7" i="10"/>
  <c r="E7" i="2"/>
  <c r="E6" i="2"/>
  <c r="E5" i="2"/>
  <c r="E4" i="2"/>
  <c r="B9" i="11" s="1" a="1"/>
  <c r="E6" i="10"/>
  <c r="C4" i="5"/>
  <c r="C5" i="5"/>
  <c r="C6" i="5"/>
  <c r="C7" i="5"/>
  <c r="C8" i="5"/>
  <c r="C9" i="5"/>
  <c r="C10" i="5"/>
  <c r="C11" i="5"/>
  <c r="C12" i="5"/>
  <c r="C13" i="5"/>
  <c r="E5" i="10"/>
  <c r="E4" i="10"/>
  <c r="F19" i="4"/>
  <c r="G19" i="4"/>
  <c r="D13" i="5"/>
  <c r="E14" i="6" a="1"/>
  <c r="E14" i="6" s="1"/>
  <c r="F14" i="6" s="1"/>
  <c r="E15" i="6" a="1"/>
  <c r="E15" i="6" s="1"/>
  <c r="F15" i="6" s="1"/>
  <c r="E16" i="6" a="1"/>
  <c r="E16" i="6" s="1"/>
  <c r="F16" i="6" s="1"/>
  <c r="E17" i="6" a="1"/>
  <c r="E17" i="6" s="1"/>
  <c r="F17" i="6" s="1"/>
  <c r="E18" i="6" a="1"/>
  <c r="E18" i="6" s="1"/>
  <c r="F18" i="6" s="1"/>
  <c r="E19" i="6" a="1"/>
  <c r="E19" i="6" s="1"/>
  <c r="F19" i="6" s="1"/>
  <c r="E20" i="6" a="1"/>
  <c r="E20" i="6" s="1"/>
  <c r="F20" i="6" s="1"/>
  <c r="E21" i="6" a="1"/>
  <c r="E21" i="6" s="1"/>
  <c r="F21" i="6" s="1"/>
  <c r="E22" i="6" a="1"/>
  <c r="E22" i="6" s="1"/>
  <c r="F22" i="6" s="1"/>
  <c r="E23" i="6" a="1"/>
  <c r="E23" i="6" s="1"/>
  <c r="F23" i="6" s="1"/>
  <c r="E24" i="6" a="1"/>
  <c r="E24" i="6" s="1"/>
  <c r="F24" i="6" s="1"/>
  <c r="E25" i="6" a="1"/>
  <c r="E25" i="6" s="1"/>
  <c r="F25" i="6" s="1"/>
  <c r="E26" i="6" a="1"/>
  <c r="E26" i="6" s="1"/>
  <c r="F26" i="6" s="1"/>
  <c r="E27" i="6" a="1"/>
  <c r="E27" i="6" s="1"/>
  <c r="F27" i="6" s="1"/>
  <c r="E28" i="6" a="1"/>
  <c r="E28" i="6" s="1"/>
  <c r="F28" i="6" s="1"/>
  <c r="E29" i="6" a="1"/>
  <c r="E29" i="6" s="1"/>
  <c r="F29" i="6" s="1"/>
  <c r="E30" i="6" a="1"/>
  <c r="E30" i="6" s="1"/>
  <c r="F30" i="6" s="1"/>
  <c r="E31" i="6" a="1"/>
  <c r="E31" i="6" s="1"/>
  <c r="F31" i="6" s="1"/>
  <c r="E13" i="6" a="1"/>
  <c r="E13" i="6" s="1"/>
  <c r="F13" i="6" s="1"/>
  <c r="D29" i="6"/>
  <c r="D30" i="6"/>
  <c r="D31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13" i="6"/>
  <c r="C5" i="6"/>
  <c r="C4" i="6"/>
  <c r="F5" i="6"/>
  <c r="E6" i="1"/>
  <c r="B9" i="12" l="1" a="1"/>
  <c r="B9" i="12" s="1"/>
  <c r="B9" i="11"/>
  <c r="D7" i="11"/>
  <c r="G13" i="5"/>
  <c r="H13" i="5" s="1"/>
  <c r="I13" i="5"/>
  <c r="J13" i="5"/>
  <c r="F18" i="4"/>
  <c r="G18" i="4"/>
  <c r="D12" i="5"/>
  <c r="G12" i="5" s="1"/>
  <c r="H12" i="5" s="1"/>
  <c r="C6" i="1"/>
  <c r="C4" i="1"/>
  <c r="M13" i="5" l="1"/>
  <c r="K13" i="5"/>
  <c r="L13" i="5" s="1"/>
  <c r="I12" i="5"/>
  <c r="J12" i="5"/>
  <c r="F17" i="4"/>
  <c r="G17" i="4"/>
  <c r="D11" i="5"/>
  <c r="G11" i="5" s="1"/>
  <c r="H11" i="5" s="1"/>
  <c r="M12" i="5" l="1"/>
  <c r="K12" i="5"/>
  <c r="L12" i="5" s="1"/>
  <c r="I11" i="5"/>
  <c r="J11" i="5"/>
  <c r="D5" i="5"/>
  <c r="D6" i="5"/>
  <c r="D7" i="5"/>
  <c r="D8" i="5"/>
  <c r="D9" i="5"/>
  <c r="D10" i="5"/>
  <c r="D4" i="5"/>
  <c r="F16" i="4"/>
  <c r="G16" i="4"/>
  <c r="J10" i="5" l="1"/>
  <c r="G10" i="5"/>
  <c r="H10" i="5" s="1"/>
  <c r="J8" i="5"/>
  <c r="G8" i="5"/>
  <c r="H8" i="5" s="1"/>
  <c r="J6" i="5"/>
  <c r="G6" i="5"/>
  <c r="H6" i="5" s="1"/>
  <c r="J4" i="5"/>
  <c r="G4" i="5"/>
  <c r="H4" i="5" s="1"/>
  <c r="J9" i="5"/>
  <c r="G9" i="5"/>
  <c r="H9" i="5" s="1"/>
  <c r="J7" i="5"/>
  <c r="G7" i="5"/>
  <c r="H7" i="5" s="1"/>
  <c r="J5" i="5"/>
  <c r="G5" i="5"/>
  <c r="H5" i="5" s="1"/>
  <c r="K11" i="5"/>
  <c r="L11" i="5" s="1"/>
  <c r="M11" i="5"/>
  <c r="I10" i="5"/>
  <c r="E8" i="6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F29" i="1" s="1"/>
  <c r="E30" i="1" a="1"/>
  <c r="E30" i="1" s="1"/>
  <c r="F30" i="1" s="1"/>
  <c r="E31" i="1" a="1"/>
  <c r="E31" i="1" s="1"/>
  <c r="F31" i="1" s="1"/>
  <c r="E32" i="1" a="1"/>
  <c r="E32" i="1" s="1"/>
  <c r="F32" i="1" s="1"/>
  <c r="G11" i="4"/>
  <c r="G12" i="4"/>
  <c r="G13" i="4"/>
  <c r="G14" i="4"/>
  <c r="G15" i="4"/>
  <c r="G10" i="4"/>
  <c r="F11" i="4"/>
  <c r="I5" i="5" s="1"/>
  <c r="F12" i="4"/>
  <c r="I6" i="5" s="1"/>
  <c r="F13" i="4"/>
  <c r="I7" i="5" s="1"/>
  <c r="F14" i="4"/>
  <c r="I8" i="5" s="1"/>
  <c r="F15" i="4"/>
  <c r="I9" i="5" s="1"/>
  <c r="F10" i="4"/>
  <c r="I4" i="5" s="1"/>
  <c r="E9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14" i="1"/>
  <c r="K9" i="5" l="1"/>
  <c r="L9" i="5" s="1"/>
  <c r="K7" i="5"/>
  <c r="L7" i="5" s="1"/>
  <c r="K5" i="5"/>
  <c r="L5" i="5" s="1"/>
  <c r="M5" i="5"/>
  <c r="M6" i="5"/>
  <c r="M8" i="5"/>
  <c r="M10" i="5"/>
  <c r="D9" i="1"/>
  <c r="K4" i="5"/>
  <c r="L4" i="5" s="1"/>
  <c r="K8" i="5"/>
  <c r="L8" i="5" s="1"/>
  <c r="K6" i="5"/>
  <c r="L6" i="5" s="1"/>
  <c r="K10" i="5"/>
  <c r="L10" i="5" s="1"/>
  <c r="M9" i="5"/>
  <c r="D8" i="6"/>
  <c r="M4" i="5"/>
  <c r="M7" i="5"/>
  <c r="E16" i="1" a="1"/>
  <c r="E16" i="1" s="1"/>
  <c r="F16" i="1" s="1"/>
  <c r="E14" i="1" a="1"/>
  <c r="E14" i="1" s="1"/>
  <c r="F14" i="1" s="1"/>
  <c r="E19" i="1" a="1"/>
  <c r="E19" i="1" s="1"/>
  <c r="F19" i="1" s="1"/>
  <c r="E17" i="1" a="1"/>
  <c r="E17" i="1" s="1"/>
  <c r="F17" i="1" s="1"/>
  <c r="E15" i="1" a="1"/>
  <c r="E15" i="1" s="1"/>
  <c r="F15" i="1" s="1"/>
  <c r="E18" i="1" a="1"/>
  <c r="E18" i="1" s="1"/>
  <c r="F18" i="1" s="1"/>
  <c r="F32" i="6"/>
  <c r="F8" i="6" s="1"/>
  <c r="F27" i="1"/>
  <c r="F25" i="1"/>
  <c r="F28" i="1"/>
  <c r="F26" i="1"/>
  <c r="F24" i="1"/>
  <c r="F23" i="1"/>
  <c r="F21" i="1"/>
  <c r="F22" i="1"/>
  <c r="F20" i="1"/>
  <c r="M2" i="5" l="1"/>
  <c r="L2" i="5"/>
  <c r="F33" i="1"/>
  <c r="F35" i="1" s="1"/>
  <c r="F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Kleber Vieira</author>
  </authors>
  <commentList>
    <comment ref="F4" authorId="0" shapeId="0" xr:uid="{196CF10A-57A6-42D5-8DF5-E91299AF22DC}">
      <text>
        <r>
          <rPr>
            <b/>
            <sz val="9"/>
            <color indexed="10"/>
            <rFont val="Segoe UI"/>
            <family val="2"/>
          </rPr>
          <t>Kleber Vieira:
NÚMERAÇÃO 
AUTOMÁTICA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" authorId="0" shapeId="0" xr:uid="{ECE8B8FE-A1AD-410B-965F-0A84EB12B27A}">
      <text>
        <r>
          <rPr>
            <b/>
            <sz val="9"/>
            <color indexed="10"/>
            <rFont val="Segoe UI"/>
            <family val="2"/>
          </rPr>
          <t>Kleber Vieira:
SE O ESTOQUE ESTIVER ZERADO
NÁO ADICIONA PRODUTO ABAIXO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Kleber Vieira</author>
  </authors>
  <commentList>
    <comment ref="E3" authorId="0" shapeId="0" xr:uid="{0F6B98A0-A466-4CFD-BB8D-00D26237967D}">
      <text>
        <r>
          <rPr>
            <b/>
            <sz val="9"/>
            <color indexed="81"/>
            <rFont val="Segoe UI"/>
            <family val="2"/>
          </rPr>
          <t xml:space="preserve">Kleber Vieira:
AJUSTE O ESTOQUE
PARA MAIS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3" authorId="0" shapeId="0" xr:uid="{6123B6A3-A424-4B39-BFA7-539AE4B50BA9}">
      <text>
        <r>
          <rPr>
            <b/>
            <sz val="9"/>
            <color indexed="81"/>
            <rFont val="Segoe UI"/>
            <family val="2"/>
          </rPr>
          <t>Kleber Vieira:
AJUSTE SEU ESTOQUE  PARA MENOS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<sst xmlns="http://schemas.openxmlformats.org/spreadsheetml/2006/main" count="243" uniqueCount="110">
  <si>
    <t>PRODUTO</t>
  </si>
  <si>
    <t>QUANTIDADE</t>
  </si>
  <si>
    <t>ESTOQUE</t>
  </si>
  <si>
    <t xml:space="preserve">PREÇO </t>
  </si>
  <si>
    <t>TOTAL</t>
  </si>
  <si>
    <t>SAIDAS</t>
  </si>
  <si>
    <t>Produto</t>
  </si>
  <si>
    <t>Boné Giga</t>
  </si>
  <si>
    <t>Calça Jeep</t>
  </si>
  <si>
    <t>Camisa T</t>
  </si>
  <si>
    <t>Casaco Pima</t>
  </si>
  <si>
    <t>Bermuda Surf</t>
  </si>
  <si>
    <t>Cachicol</t>
  </si>
  <si>
    <t>Preço De Custo</t>
  </si>
  <si>
    <t>TELEFONE</t>
  </si>
  <si>
    <t>VENDEROR</t>
  </si>
  <si>
    <t>ENTRADAS</t>
  </si>
  <si>
    <t>UNIDADE</t>
  </si>
  <si>
    <t>UND</t>
  </si>
  <si>
    <t>TABELA DE PREÇO</t>
  </si>
  <si>
    <t>*</t>
  </si>
  <si>
    <t>DATA DA VENDA</t>
  </si>
  <si>
    <t>Nº DO PEDIDO</t>
  </si>
  <si>
    <t>CLIENTE..:</t>
  </si>
  <si>
    <t>ENDEREÇO..:</t>
  </si>
  <si>
    <t>Nº DE ITENS</t>
  </si>
  <si>
    <t>VALOR TOTAL..:</t>
  </si>
  <si>
    <t>DESCONTO(%)..:</t>
  </si>
  <si>
    <t>TOTAL C/DESCONTO..:</t>
  </si>
  <si>
    <t xml:space="preserve"> Venda Avista</t>
  </si>
  <si>
    <t>Lucro Avista(%)</t>
  </si>
  <si>
    <t>Lucro Aprazo(%)</t>
  </si>
  <si>
    <t>Venda Aprazo</t>
  </si>
  <si>
    <t>LOGO</t>
  </si>
  <si>
    <t>DATA</t>
  </si>
  <si>
    <t>PRODUTOS</t>
  </si>
  <si>
    <t>QUANTIDADES</t>
  </si>
  <si>
    <t>FORNECEDOR..:</t>
  </si>
  <si>
    <t>PREÇO CUSTO</t>
  </si>
  <si>
    <t>TELEFONE..:</t>
  </si>
  <si>
    <t>Nº DA NOTA..:</t>
  </si>
  <si>
    <t>DATA DA ENTRADA..:</t>
  </si>
  <si>
    <t>Entradas</t>
  </si>
  <si>
    <t>Saídas</t>
  </si>
  <si>
    <t>Status</t>
  </si>
  <si>
    <t>Custo Total</t>
  </si>
  <si>
    <t>GASTOS(%)</t>
  </si>
  <si>
    <t>PREÇO DE CUSTO</t>
  </si>
  <si>
    <t>TABELAS DE PREÇOS</t>
  </si>
  <si>
    <t>Agua Sanitária Dragão</t>
  </si>
  <si>
    <t>CX</t>
  </si>
  <si>
    <t>Venda Total</t>
  </si>
  <si>
    <t>Lucro Total (R$)</t>
  </si>
  <si>
    <t>Lucro (%)</t>
  </si>
  <si>
    <t>ESTOQUE LIQUIDO</t>
  </si>
  <si>
    <t>Agua Sanitária Clorito</t>
  </si>
  <si>
    <t>NOME</t>
  </si>
  <si>
    <t>ENDEREÇO</t>
  </si>
  <si>
    <t>EMAIL</t>
  </si>
  <si>
    <t>FABRICA FORTALEZA</t>
  </si>
  <si>
    <t>AV VALDIVINO NOGUEIRA Nº1313</t>
  </si>
  <si>
    <t>fabricafortaleza@gmail.com</t>
  </si>
  <si>
    <t>FORNECEDOR</t>
  </si>
  <si>
    <t>FRANCISCO CLEBER VIERIA LOPES</t>
  </si>
  <si>
    <t>SITIO MATA QUIRI Nº 1717</t>
  </si>
  <si>
    <t>klebervieirati@gmail.com</t>
  </si>
  <si>
    <t>RAIMUNDO DA SILVA OLIVEIRA</t>
  </si>
  <si>
    <t>AV JOÃO DAMASCENO Nº 1440</t>
  </si>
  <si>
    <t>raimundosilva@gmail.com</t>
  </si>
  <si>
    <t xml:space="preserve">NOME </t>
  </si>
  <si>
    <t>KLEBER VIEIRA</t>
  </si>
  <si>
    <t>SAIDAS/VENDAS</t>
  </si>
  <si>
    <t>Desinfetante Dragão</t>
  </si>
  <si>
    <t>TOTAL ENTRADAS</t>
  </si>
  <si>
    <t>CADASTRO DE CLIENTES</t>
  </si>
  <si>
    <t>ENTRADA DE PRODUTOS</t>
  </si>
  <si>
    <t>ESTOQUE FINANCEIRO</t>
  </si>
  <si>
    <t>CADASTRO DE FORNECEDOR</t>
  </si>
  <si>
    <t>COMERCIAL DE ALIMENTOS</t>
  </si>
  <si>
    <t>RUA DAS CARNAUBAS Nº3528</t>
  </si>
  <si>
    <t>comercialalimentos@gmail.com</t>
  </si>
  <si>
    <t>CADASTRO DE PRODUTOS</t>
  </si>
  <si>
    <t>CADASTRO DE VENDEDORES</t>
  </si>
  <si>
    <t>JOAQUIM  LEMOS</t>
  </si>
  <si>
    <t xml:space="preserve">PRODUTO TESTE </t>
  </si>
  <si>
    <t>MÊS</t>
  </si>
  <si>
    <t>CLIENTE</t>
  </si>
  <si>
    <t>VENDEDOR</t>
  </si>
  <si>
    <t>Nº DA NOTA</t>
  </si>
  <si>
    <t>Mais(+)</t>
  </si>
  <si>
    <t>Menos(-)</t>
  </si>
  <si>
    <t>Estoque Mínimo</t>
  </si>
  <si>
    <t>Estoque Máximo</t>
  </si>
  <si>
    <t>NF 359535</t>
  </si>
  <si>
    <t>NF 359531</t>
  </si>
  <si>
    <t>NF 359532</t>
  </si>
  <si>
    <t>NF 359533</t>
  </si>
  <si>
    <t>NF 359534</t>
  </si>
  <si>
    <t>NF 359536</t>
  </si>
  <si>
    <t>NF 359537</t>
  </si>
  <si>
    <t>NF 359538</t>
  </si>
  <si>
    <t>NF 359539</t>
  </si>
  <si>
    <t>NF 359540</t>
  </si>
  <si>
    <t>NF 355522</t>
  </si>
  <si>
    <t>DATA INICIAL</t>
  </si>
  <si>
    <t>DATA FINAL</t>
  </si>
  <si>
    <t>CLIENTES</t>
  </si>
  <si>
    <t xml:space="preserve"> PRODUTO</t>
  </si>
  <si>
    <t>RELATÓRIO DE SAÍDAS</t>
  </si>
  <si>
    <t>RELATÓRIO DE 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</si>
</sst>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&quot;(&quot;##&quot;)&quot;####\-####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FF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10"/>
      <name val="Segoe UI"/>
      <family val="2"/>
    </font>
    <font>
      <b/>
      <sz val="18"/>
      <color theme="0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14"/>
      <color theme="1"/>
      <name val="Segoe UI"/>
      <family val="2"/>
    </font>
    <font>
      <b/>
      <sz val="11"/>
      <color theme="1"/>
      <name val="Segoe UI"/>
      <family val="2"/>
    </font>
    <font>
      <sz val="12"/>
      <color rgb="FFFF0000"/>
      <name val="Segoe UI"/>
      <family val="2"/>
    </font>
    <font>
      <b/>
      <sz val="18"/>
      <color theme="1"/>
      <name val="Segoe UI"/>
      <family val="2"/>
    </font>
    <font>
      <u/>
      <sz val="11"/>
      <color theme="10"/>
      <name val="Segoe UI"/>
      <family val="2"/>
    </font>
    <font>
      <b/>
      <sz val="11"/>
      <color rgb="FF800000"/>
      <name val="Calibri"/>
      <family val="2"/>
    </font>
    <font>
      <b/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1454817346722"/>
      </left>
      <right style="thin">
        <color theme="9" tint="0.399945066682943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dashed">
        <color rgb="FFFFFF00"/>
      </left>
      <right style="dashed">
        <color rgb="FFFFFF00"/>
      </right>
      <top style="dashed">
        <color rgb="FFFFFF00"/>
      </top>
      <bottom style="dashed">
        <color rgb="FFFFFF0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2" fillId="0" borderId="0" xfId="3"/>
    <xf numFmtId="0" fontId="9" fillId="6" borderId="0" xfId="0" applyFont="1" applyFill="1"/>
    <xf numFmtId="0" fontId="10" fillId="6" borderId="0" xfId="0" applyFont="1" applyFill="1"/>
    <xf numFmtId="44" fontId="10" fillId="6" borderId="0" xfId="1" applyFont="1" applyFill="1"/>
    <xf numFmtId="0" fontId="10" fillId="0" borderId="0" xfId="0" applyFont="1"/>
    <xf numFmtId="0" fontId="11" fillId="2" borderId="1" xfId="0" applyFont="1" applyFill="1" applyBorder="1" applyAlignment="1">
      <alignment horizontal="right"/>
    </xf>
    <xf numFmtId="0" fontId="11" fillId="2" borderId="1" xfId="0" applyFont="1" applyFill="1" applyBorder="1"/>
    <xf numFmtId="0" fontId="10" fillId="0" borderId="1" xfId="0" applyFont="1" applyBorder="1" applyAlignment="1" applyProtection="1">
      <alignment horizontal="center"/>
      <protection locked="0"/>
    </xf>
    <xf numFmtId="0" fontId="11" fillId="2" borderId="1" xfId="0" applyFont="1" applyFill="1" applyBorder="1" applyAlignment="1">
      <alignment horizontal="center" vertical="center"/>
    </xf>
    <xf numFmtId="0" fontId="10" fillId="0" borderId="1" xfId="0" applyFont="1" applyBorder="1" applyProtection="1">
      <protection locked="0"/>
    </xf>
    <xf numFmtId="165" fontId="10" fillId="0" borderId="1" xfId="0" applyNumberFormat="1" applyFont="1" applyBorder="1"/>
    <xf numFmtId="0" fontId="13" fillId="0" borderId="1" xfId="0" applyFont="1" applyBorder="1" applyProtection="1">
      <protection locked="0"/>
    </xf>
    <xf numFmtId="14" fontId="13" fillId="0" borderId="1" xfId="0" applyNumberFormat="1" applyFont="1" applyBorder="1" applyAlignment="1">
      <alignment horizontal="center"/>
    </xf>
    <xf numFmtId="44" fontId="10" fillId="0" borderId="0" xfId="1" applyFont="1"/>
    <xf numFmtId="0" fontId="14" fillId="0" borderId="0" xfId="0" applyFont="1" applyAlignment="1">
      <alignment horizontal="right"/>
    </xf>
    <xf numFmtId="0" fontId="11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0" fillId="0" borderId="0" xfId="0" applyFont="1" applyBorder="1"/>
    <xf numFmtId="0" fontId="13" fillId="0" borderId="0" xfId="0" applyFont="1"/>
    <xf numFmtId="44" fontId="11" fillId="2" borderId="1" xfId="1" applyFont="1" applyFill="1" applyBorder="1" applyAlignment="1">
      <alignment horizontal="center"/>
    </xf>
    <xf numFmtId="0" fontId="10" fillId="0" borderId="1" xfId="0" applyFont="1" applyBorder="1" applyProtection="1"/>
    <xf numFmtId="44" fontId="10" fillId="0" borderId="1" xfId="1" applyFont="1" applyBorder="1" applyProtection="1"/>
    <xf numFmtId="44" fontId="10" fillId="0" borderId="1" xfId="1" applyFont="1" applyBorder="1"/>
    <xf numFmtId="9" fontId="10" fillId="0" borderId="1" xfId="2" applyNumberFormat="1" applyFont="1" applyBorder="1" applyProtection="1">
      <protection locked="0"/>
    </xf>
    <xf numFmtId="0" fontId="11" fillId="3" borderId="1" xfId="0" applyFont="1" applyFill="1" applyBorder="1" applyAlignment="1">
      <alignment horizontal="right"/>
    </xf>
    <xf numFmtId="0" fontId="10" fillId="0" borderId="1" xfId="0" applyFont="1" applyBorder="1"/>
    <xf numFmtId="0" fontId="11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3" fillId="0" borderId="2" xfId="0" applyFont="1" applyBorder="1" applyAlignment="1">
      <alignment horizontal="center"/>
    </xf>
    <xf numFmtId="44" fontId="11" fillId="3" borderId="1" xfId="1" applyFont="1" applyFill="1" applyBorder="1" applyAlignment="1">
      <alignment horizontal="center"/>
    </xf>
    <xf numFmtId="44" fontId="11" fillId="3" borderId="6" xfId="1" applyFont="1" applyFill="1" applyBorder="1" applyAlignment="1">
      <alignment horizontal="center"/>
    </xf>
    <xf numFmtId="44" fontId="10" fillId="0" borderId="1" xfId="1" applyNumberFormat="1" applyFont="1" applyBorder="1"/>
    <xf numFmtId="9" fontId="10" fillId="5" borderId="18" xfId="2" applyFont="1" applyFill="1" applyBorder="1"/>
    <xf numFmtId="44" fontId="10" fillId="5" borderId="18" xfId="1" applyFont="1" applyFill="1" applyBorder="1"/>
    <xf numFmtId="44" fontId="10" fillId="0" borderId="0" xfId="0" applyNumberFormat="1" applyFont="1"/>
    <xf numFmtId="9" fontId="10" fillId="0" borderId="0" xfId="2" applyFont="1"/>
    <xf numFmtId="0" fontId="10" fillId="0" borderId="0" xfId="0" applyNumberFormat="1" applyFont="1"/>
    <xf numFmtId="44" fontId="10" fillId="0" borderId="0" xfId="1" applyNumberFormat="1" applyFont="1"/>
    <xf numFmtId="9" fontId="10" fillId="0" borderId="0" xfId="0" applyNumberFormat="1" applyFont="1"/>
    <xf numFmtId="0" fontId="10" fillId="6" borderId="0" xfId="0" applyFont="1" applyFill="1" applyAlignment="1">
      <alignment horizontal="right"/>
    </xf>
    <xf numFmtId="0" fontId="11" fillId="4" borderId="16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center"/>
    </xf>
    <xf numFmtId="0" fontId="11" fillId="4" borderId="17" xfId="0" applyFont="1" applyFill="1" applyBorder="1" applyAlignment="1">
      <alignment horizontal="center"/>
    </xf>
    <xf numFmtId="165" fontId="10" fillId="0" borderId="0" xfId="0" applyNumberFormat="1" applyFont="1" applyAlignment="1">
      <alignment horizontal="right"/>
    </xf>
    <xf numFmtId="0" fontId="16" fillId="0" borderId="0" xfId="3" applyFont="1"/>
    <xf numFmtId="0" fontId="10" fillId="0" borderId="0" xfId="0" applyFont="1" applyAlignment="1">
      <alignment horizontal="right"/>
    </xf>
    <xf numFmtId="165" fontId="10" fillId="0" borderId="0" xfId="0" applyNumberFormat="1" applyFont="1"/>
    <xf numFmtId="0" fontId="10" fillId="6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9" fontId="10" fillId="6" borderId="0" xfId="2" applyFont="1" applyFill="1"/>
    <xf numFmtId="0" fontId="11" fillId="4" borderId="9" xfId="0" applyFont="1" applyFill="1" applyBorder="1" applyAlignment="1">
      <alignment horizontal="center"/>
    </xf>
    <xf numFmtId="9" fontId="11" fillId="4" borderId="9" xfId="2" applyFont="1" applyFill="1" applyBorder="1" applyAlignment="1">
      <alignment horizontal="center"/>
    </xf>
    <xf numFmtId="0" fontId="10" fillId="0" borderId="10" xfId="0" applyFont="1" applyBorder="1"/>
    <xf numFmtId="0" fontId="10" fillId="0" borderId="11" xfId="0" applyFont="1" applyBorder="1"/>
    <xf numFmtId="44" fontId="10" fillId="0" borderId="11" xfId="1" applyFont="1" applyBorder="1"/>
    <xf numFmtId="9" fontId="10" fillId="0" borderId="13" xfId="2" applyFont="1" applyBorder="1" applyAlignment="1">
      <alignment horizontal="center"/>
    </xf>
    <xf numFmtId="44" fontId="10" fillId="0" borderId="12" xfId="1" applyFont="1" applyBorder="1" applyAlignment="1">
      <alignment horizontal="right"/>
    </xf>
    <xf numFmtId="9" fontId="10" fillId="0" borderId="12" xfId="2" applyFont="1" applyBorder="1" applyAlignment="1">
      <alignment horizontal="center"/>
    </xf>
    <xf numFmtId="9" fontId="10" fillId="0" borderId="0" xfId="2" applyFont="1" applyBorder="1"/>
    <xf numFmtId="9" fontId="10" fillId="0" borderId="0" xfId="2" applyFont="1" applyAlignment="1">
      <alignment horizontal="center"/>
    </xf>
    <xf numFmtId="164" fontId="10" fillId="0" borderId="0" xfId="0" applyNumberFormat="1" applyFont="1"/>
    <xf numFmtId="14" fontId="10" fillId="0" borderId="0" xfId="0" applyNumberFormat="1" applyFont="1" applyAlignment="1">
      <alignment horizontal="center"/>
    </xf>
    <xf numFmtId="14" fontId="10" fillId="0" borderId="0" xfId="0" applyNumberFormat="1" applyFont="1"/>
    <xf numFmtId="0" fontId="11" fillId="7" borderId="0" xfId="0" applyFont="1" applyFill="1" applyAlignment="1">
      <alignment horizontal="center"/>
    </xf>
    <xf numFmtId="14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4" fontId="11" fillId="8" borderId="20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center"/>
    </xf>
    <xf numFmtId="0" fontId="11" fillId="8" borderId="21" xfId="0" applyFont="1" applyFill="1" applyBorder="1" applyAlignment="1">
      <alignment horizontal="center" vertical="center"/>
    </xf>
    <xf numFmtId="0" fontId="11" fillId="8" borderId="22" xfId="0" applyFont="1" applyFill="1" applyBorder="1" applyAlignment="1">
      <alignment horizontal="center"/>
    </xf>
    <xf numFmtId="14" fontId="0" fillId="0" borderId="0" xfId="0" applyNumberFormat="1"/>
    <xf numFmtId="0" fontId="0" fillId="0" borderId="6" xfId="0" applyBorder="1"/>
    <xf numFmtId="14" fontId="0" fillId="0" borderId="6" xfId="0" applyNumberFormat="1" applyBorder="1"/>
    <xf numFmtId="0" fontId="11" fillId="8" borderId="2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0" fillId="9" borderId="0" xfId="0" applyFont="1" applyFill="1"/>
    <xf numFmtId="14" fontId="10" fillId="9" borderId="0" xfId="0" applyNumberFormat="1" applyFont="1" applyFill="1"/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Border="1"/>
    <xf numFmtId="0" fontId="10" fillId="9" borderId="0" xfId="0" applyFont="1" applyFill="1" applyBorder="1" applyAlignment="1">
      <alignment horizontal="center" vertical="center"/>
    </xf>
    <xf numFmtId="0" fontId="10" fillId="10" borderId="0" xfId="0" applyFont="1" applyFill="1"/>
    <xf numFmtId="0" fontId="10" fillId="0" borderId="2" xfId="0" applyFont="1" applyBorder="1" applyAlignment="1" applyProtection="1">
      <alignment horizontal="left"/>
      <protection locked="0"/>
    </xf>
    <xf numFmtId="0" fontId="10" fillId="0" borderId="3" xfId="0" applyFont="1" applyBorder="1" applyAlignment="1" applyProtection="1">
      <alignment horizontal="left"/>
      <protection locked="0"/>
    </xf>
    <xf numFmtId="0" fontId="10" fillId="0" borderId="4" xfId="0" applyFont="1" applyBorder="1" applyAlignment="1" applyProtection="1">
      <alignment horizontal="left"/>
      <protection locked="0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44" fontId="12" fillId="0" borderId="5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44" fontId="10" fillId="0" borderId="8" xfId="1" applyFont="1" applyBorder="1" applyAlignment="1">
      <alignment horizontal="center" vertical="center"/>
    </xf>
    <xf numFmtId="44" fontId="10" fillId="0" borderId="0" xfId="1" applyFont="1" applyAlignment="1">
      <alignment horizontal="center" vertical="center"/>
    </xf>
    <xf numFmtId="44" fontId="10" fillId="0" borderId="7" xfId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left"/>
    </xf>
    <xf numFmtId="165" fontId="10" fillId="0" borderId="4" xfId="0" applyNumberFormat="1" applyFont="1" applyBorder="1" applyAlignment="1">
      <alignment horizontal="left"/>
    </xf>
    <xf numFmtId="44" fontId="15" fillId="0" borderId="19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1" fillId="4" borderId="14" xfId="0" applyFont="1" applyFill="1" applyBorder="1" applyAlignment="1">
      <alignment horizontal="center"/>
    </xf>
    <xf numFmtId="0" fontId="11" fillId="4" borderId="15" xfId="0" applyFont="1" applyFill="1" applyBorder="1" applyAlignment="1">
      <alignment horizont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64"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9" formatCode="dd/mm/yyyy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164" formatCode="&quot;R$&quot;\ #,##0.0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numFmt numFmtId="165" formatCode="&quot;(&quot;##&quot;)&quot;####\-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numFmt numFmtId="165" formatCode="&quot;(&quot;##&quot;)&quot;####\-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border outline="0">
        <top style="thin">
          <color theme="9"/>
        </top>
      </border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3" formatCode="0%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2228850</xdr:colOff>
      <xdr:row>9</xdr:row>
      <xdr:rowOff>85726</xdr:rowOff>
    </xdr:from>
    <xdr:to>
      <xdr:col>3</xdr:col>
      <xdr:colOff>276226</xdr:colOff>
      <xdr:row>12</xdr:row>
      <xdr:rowOff>28576</xdr:rowOff>
    </xdr:to>
    <xdr:sp macro="[0]!Vendas" textlink="">
      <xdr:nvSpPr>
        <xdr:cNvPr id="2" name="Texto Explicativo: Seta para Baix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66975" y="2095501"/>
          <a:ext cx="1685926" cy="571500"/>
        </a:xfrm>
        <a:prstGeom prst="downArrowCallou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/>
            <a:t>ADICIONAR</a:t>
          </a:r>
        </a:p>
        <a:p>
          <a:pPr algn="ctr"/>
          <a:r>
            <a:rPr lang="pt-BR" sz="900" b="1"/>
            <a:t>PRODUTOS</a:t>
          </a:r>
        </a:p>
      </xdr:txBody>
    </xdr:sp>
    <xdr:clientData/>
  </xdr:twoCellAnchor>
  <xdr:twoCellAnchor>
    <xdr:from>
      <xdr:col>4</xdr:col>
      <xdr:colOff>57150</xdr:colOff>
      <xdr:row>9</xdr:row>
      <xdr:rowOff>123825</xdr:rowOff>
    </xdr:from>
    <xdr:to>
      <xdr:col>4</xdr:col>
      <xdr:colOff>1352550</xdr:colOff>
      <xdr:row>11</xdr:row>
      <xdr:rowOff>104775</xdr:rowOff>
    </xdr:to>
    <xdr:sp macro="[0]!LIMPARPEDID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86375" y="2133600"/>
          <a:ext cx="1295400" cy="4000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LIMPAR</a:t>
          </a:r>
          <a:r>
            <a:rPr lang="pt-BR" sz="1200" b="1" baseline="0"/>
            <a:t> PEDIDO</a:t>
          </a:r>
          <a:endParaRPr lang="pt-B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1285875</xdr:colOff>
          <xdr:row>5</xdr:row>
          <xdr:rowOff>161925</xdr:rowOff>
        </xdr:from>
        <xdr:to>
          <xdr:col>8</xdr:col>
          <xdr:colOff>171450</xdr:colOff>
          <xdr:row>7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ADICIONAR PRODUTOS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8</xdr:row>
          <xdr:rowOff>123825</xdr:rowOff>
        </xdr:from>
        <xdr:to>
          <xdr:col>8</xdr:col>
          <xdr:colOff>9525</xdr:colOff>
          <xdr:row>10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LIMPAR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180975</xdr:rowOff>
        </xdr:from>
        <xdr:to>
          <xdr:col>8</xdr:col>
          <xdr:colOff>152400</xdr:colOff>
          <xdr:row>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8</xdr:row>
          <xdr:rowOff>66675</xdr:rowOff>
        </xdr:from>
        <xdr:to>
          <xdr:col>3</xdr:col>
          <xdr:colOff>171450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ADICIONAR 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8</xdr:row>
          <xdr:rowOff>66675</xdr:rowOff>
        </xdr:from>
        <xdr:to>
          <xdr:col>4</xdr:col>
          <xdr:colOff>600075</xdr:colOff>
          <xdr:row>10</xdr:row>
          <xdr:rowOff>114300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LIMPAR ENTRADA</a:t>
              </a:r>
            </a:p>
            <a:p>
              <a:pPr algn="ctr" rtl="0">
                <a:defRPr sz="1000"/>
              </a:pPr>
              <a:endParaRPr lang="pt-BR" sz="1100" b="1" i="0" u="none" strike="noStrike" baseline="0">
                <a:solidFill>
                  <a:srgbClr val="8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76200</xdr:rowOff>
        </xdr:from>
        <xdr:to>
          <xdr:col>3</xdr:col>
          <xdr:colOff>619125</xdr:colOff>
          <xdr:row>7</xdr:row>
          <xdr:rowOff>123825</xdr:rowOff>
        </xdr:to>
        <xdr:sp macro="" textlink="">
          <xdr:nvSpPr>
            <xdr:cNvPr id="5121" name="Button 1" descr="CADASTRA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898BE0-5E76-4105-ABA7-52B4F8086F5C}" name="TBESTOQUE" displayName="TBESTOQUE" ref="B3:M13" totalsRowShown="0" headerRowDxfId="58" dataDxfId="57">
  <autoFilter ref="B3:M13" xr:uid="{91898BE0-5E76-4105-ABA7-52B4F8086F5C}"/>
  <tableColumns count="12">
    <tableColumn id="1" xr3:uid="{D7DCD6B0-F92A-4551-960B-97D94AFAE172}" name="Produto" dataDxfId="56" totalsRowDxfId="55"/>
    <tableColumn id="2" xr3:uid="{D2C05770-090D-443E-9E6D-C25496690CFE}" name="Entradas" dataDxfId="54">
      <calculatedColumnFormula>SUMIF(TBENTRADA[PRODUTO],TBESTOQUE[[#This Row],[Produto]],TBENTRADA[ENTRADAS])</calculatedColumnFormula>
    </tableColumn>
    <tableColumn id="3" xr3:uid="{E3FF822D-C4E9-4664-9AB8-E7F451FBD3CE}" name="Saídas" dataDxfId="53">
      <calculatedColumnFormula>SUMIF(TBSAIDA[PRODUTO],TBESTOQUE[[#This Row],[Produto]],TBSAIDA[SAIDAS])</calculatedColumnFormula>
    </tableColumn>
    <tableColumn id="12" xr3:uid="{AB947908-556E-427D-B712-94C039029C42}" name="Mais(+)" dataDxfId="52"/>
    <tableColumn id="5" xr3:uid="{5E52B1CA-C93B-48B9-AA71-898974B3F429}" name="Menos(-)" dataDxfId="51"/>
    <tableColumn id="4" xr3:uid="{1BADC5BC-7A11-4312-B377-C46CBEB3103D}" name="ESTOQUE" dataDxfId="50">
      <calculatedColumnFormula>(TBESTOQUE[[#This Row],[Entradas]]-TBESTOQUE[[#This Row],[Saídas]])+TBESTOQUE[[#This Row],[Mais(+)]]-TBESTOQUE[[#This Row],[Menos(-)]]</calculatedColumnFormula>
    </tableColumn>
    <tableColumn id="6" xr3:uid="{2FCED317-FFF4-4EA1-ABD7-E2CBFFABEA11}" name="Status" dataDxfId="49">
      <calculatedColumnFormula>IF(TBESTOQUE[[#This Row],[ESTOQUE]]&lt;CADPRODUTOS!H10,"COMPRAR",IF(TBESTOQUE[[#This Row],[ESTOQUE]]&gt;CADPRODUTOS!I10,"ESTOQUE ALTO","ESTOQUE OK"))</calculatedColumnFormula>
    </tableColumn>
    <tableColumn id="7" xr3:uid="{E14F22ED-A29D-4331-AB4D-CA62A9280E38}" name="Venda Total" dataDxfId="48" dataCellStyle="Moeda">
      <calculatedColumnFormula>VLOOKUP(TBESTOQUE[[#This Row],[Produto]],TBPRODUTOS[],5,0)*TBESTOQUE[[#This Row],[Saídas]]</calculatedColumnFormula>
    </tableColumn>
    <tableColumn id="8" xr3:uid="{7D0AA8B3-FA36-49F6-8B12-CB931ECE35FC}" name="Custo Total" dataDxfId="47" dataCellStyle="Moeda">
      <calculatedColumnFormula>VLOOKUP(TBESTOQUE[[#This Row],[Produto]],TBPRODUTOS[],3,0)*TBESTOQUE[[#This Row],[Saídas]]</calculatedColumnFormula>
    </tableColumn>
    <tableColumn id="9" xr3:uid="{F6AD0F6C-C457-4708-8A81-7806B39324A0}" name="Lucro Total (R$)" dataDxfId="46">
      <calculatedColumnFormula>TBESTOQUE[[#This Row],[Venda Total]]-TBESTOQUE[[#This Row],[Custo Total]]</calculatedColumnFormula>
    </tableColumn>
    <tableColumn id="10" xr3:uid="{590B29FB-D184-43C0-852A-C243125973F6}" name="Lucro (%)" dataDxfId="45">
      <calculatedColumnFormula>IFERROR(TBESTOQUE[[#This Row],[Lucro Total (R$)]]/TBESTOQUE[[#This Row],[Custo Total]],"")</calculatedColumnFormula>
    </tableColumn>
    <tableColumn id="11" xr3:uid="{BFE965E3-486F-4AAC-943E-EA948DF88CDD}" name="ESTOQUE LIQUIDO" dataDxfId="44" dataCellStyle="Moeda">
      <calculatedColumnFormula>VLOOKUP(TBESTOQUE[[#This Row],[Produto]],TBPRODUTOS[],3,0)*TBESTOQUE[[#This Row],[ESTOQUE]]</calculatedColumnFormula>
    </tableColumn>
  </tableColumns>
  <tableStyleInfo name="TableStyleMedium3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AB85CB-B8E1-402E-BDF6-6DF9F06EA643}" name="TBCLIENTE" displayName="TBCLIENTE" ref="B3:E5" totalsRowShown="0" headerRowDxfId="43" dataDxfId="42" tableBorderDxfId="41">
  <autoFilter ref="B3:E5" xr:uid="{3CAB85CB-B8E1-402E-BDF6-6DF9F06EA643}"/>
  <tableColumns count="4">
    <tableColumn id="1" xr3:uid="{57129543-A972-45F5-9267-FF923159789B}" name="NOME" dataDxfId="40"/>
    <tableColumn id="2" xr3:uid="{091115F5-6C1A-42FD-8D0C-7F3A3E66A7FC}" name="ENDEREÇO" dataDxfId="39"/>
    <tableColumn id="3" xr3:uid="{7A44158A-2D4C-4FC1-AD44-B05A5F54615F}" name="TELEFONE" dataDxfId="38"/>
    <tableColumn id="4" xr3:uid="{7669B782-BE09-419C-AFBA-2CD8A246E8EE}" name="EMAIL" dataDxfId="37" dataCellStyle="Hiperlink"/>
  </tableColumns>
  <tableStyleInfo name="TableStyleMedium2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E19A1-B89F-48C4-A2A1-9343C68D13B8}" name="TBFORNECEDOR" displayName="TBFORNECEDOR" ref="B3:E5" totalsRowShown="0" headerRowDxfId="36" dataDxfId="35">
  <autoFilter ref="B3:E5" xr:uid="{4D6E19A1-B89F-48C4-A2A1-9343C68D13B8}"/>
  <tableColumns count="4">
    <tableColumn id="1" xr3:uid="{AF9A9A02-6A34-47A2-BCC1-E6B77DFE2250}" name="NOME" dataDxfId="34"/>
    <tableColumn id="2" xr3:uid="{E646247C-D72B-47F3-A407-142BDD6BD523}" name="ENDEREÇO" dataDxfId="33"/>
    <tableColumn id="3" xr3:uid="{CDFCDFC7-6E86-4835-A4D1-CA6CA17BDAF2}" name="TELEFONE" dataDxfId="32"/>
    <tableColumn id="4" xr3:uid="{FD04BE35-B72A-4A57-9A15-503102067DA0}" name="EMAIL" dataDxfId="31" dataCellStyle="Hiperlink"/>
  </tableColumns>
  <tableStyleInfo name="TableStyleMedium14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72ACDB-3626-42EE-A837-9FE52670CE6E}" name="TBPRODUTOS" displayName="TBPRODUTOS" ref="B9:I19" totalsRowShown="0" headerRowDxfId="30" dataDxfId="29">
  <autoFilter ref="B9:I19" xr:uid="{FC72ACDB-3626-42EE-A837-9FE52670CE6E}"/>
  <tableColumns count="8">
    <tableColumn id="1" xr3:uid="{831AC3D3-13B3-458E-ABCB-0F4A7FE56123}" name="Produto" dataDxfId="28"/>
    <tableColumn id="5" xr3:uid="{98B6E7A8-CBB8-45AD-8881-2BCE94F57326}" name="UNIDADE" dataDxfId="27"/>
    <tableColumn id="2" xr3:uid="{E5254C2D-F79F-46FE-9F50-BE9C69436EC7}" name="Preço De Custo" dataDxfId="26"/>
    <tableColumn id="4" xr3:uid="{4434B569-F321-41B3-9213-079290A1213B}" name="GASTOS(%)" dataDxfId="25" dataCellStyle="Porcentagem"/>
    <tableColumn id="3" xr3:uid="{1A694F5C-4403-40A6-BC63-C4C533FB87DB}" name=" Venda Avista" dataDxfId="24" dataCellStyle="Moeda">
      <calculatedColumnFormula>TBPRODUTOS[[#This Row],[Preço De Custo]]*TBPRODUTOS[[#This Row],[GASTOS(%)]]+TBPRODUTOS[[#This Row],[Preço De Custo]]+TBPRODUTOS[[#This Row],[Preço De Custo]]*$G$6</calculatedColumnFormula>
    </tableColumn>
    <tableColumn id="6" xr3:uid="{32E587D5-6CB9-4506-9DC1-5845137154C4}" name="Venda Aprazo" dataDxfId="23" dataCellStyle="Moeda">
      <calculatedColumnFormula>TBPRODUTOS[[#This Row],[Preço De Custo]]*TBPRODUTOS[[#This Row],[GASTOS(%)]]+TBPRODUTOS[[#This Row],[Preço De Custo]]+TBPRODUTOS[[#This Row],[Preço De Custo]]*$G$7</calculatedColumnFormula>
    </tableColumn>
    <tableColumn id="7" xr3:uid="{C18CF1FD-29B5-4966-A0B5-CFAAE41DD016}" name="Estoque Mínimo" dataDxfId="22"/>
    <tableColumn id="8" xr3:uid="{8399ADFE-1C15-4CC2-9AAC-565AB3EFFEDF}" name="Estoque Máximo" dataDxfId="21"/>
  </tableColumns>
  <tableStyleInfo name="TableStyleMedium7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0D25E9-BE35-4661-B862-4A5B32A8C139}" name="TBVENDEDOR" displayName="TBVENDEDOR" ref="B3:B5" totalsRowShown="0" headerRowDxfId="20" dataDxfId="19">
  <autoFilter ref="B3:B5" xr:uid="{8B0D25E9-BE35-4661-B862-4A5B32A8C139}"/>
  <tableColumns count="1">
    <tableColumn id="1" xr3:uid="{59548F96-8938-4165-BB07-A216C08F5D4C}" name="NOME " dataDxfId="18"/>
  </tableColumns>
  <tableStyleInfo name="TableStyleMedium7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B678FB-AF0E-4497-8425-24A28D923232}" name="TBSAIDA" displayName="TBSAIDA" ref="B3:H15" totalsRowShown="0" headerRowDxfId="17" dataDxfId="16">
  <autoFilter ref="B3:H15" xr:uid="{E2B678FB-AF0E-4497-8425-24A28D923232}"/>
  <tableColumns count="7">
    <tableColumn id="4" xr3:uid="{F9C4009D-A7A4-4B04-9CAE-9E92621C2391}" name="DATA" dataDxfId="15"/>
    <tableColumn id="1" xr3:uid="{1D6E472E-9108-4E47-BBBD-C718166A14A3}" name="PRODUTO" dataDxfId="14"/>
    <tableColumn id="2" xr3:uid="{6F61E1B7-5459-4E91-BBB7-9AEA5A2E796D}" name="SAIDAS" dataDxfId="13"/>
    <tableColumn id="5" xr3:uid="{E253CE5E-9ABD-42D1-ADE4-89C39B8FEBD9}" name="MÊS" dataDxfId="12">
      <calculatedColumnFormula>TEXT(TBSAIDA[[#This Row],[DATA]],"MMM")</calculatedColumnFormula>
    </tableColumn>
    <tableColumn id="6" xr3:uid="{43DA68CD-8827-4158-99A4-1F4B07C54165}" name="CLIENTE" dataDxfId="11"/>
    <tableColumn id="3" xr3:uid="{A6B13340-DED0-4206-B5B2-FC04E976D99C}" name="VENDEDOR" dataDxfId="10"/>
    <tableColumn id="7" xr3:uid="{88CD8152-6765-45D5-92EB-41F511100977}" name="Nº DO PEDIDO" dataDxfId="9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C2FFC55-1DC1-42AA-8CAC-89137CC3D678}" name="TBENTRADA" displayName="TBENTRADA" ref="B3:G15" totalsRowShown="0" headerRowDxfId="8" dataDxfId="7" tableBorderDxfId="6">
  <autoFilter ref="B3:G15" xr:uid="{8C2FFC55-1DC1-42AA-8CAC-89137CC3D678}"/>
  <tableColumns count="6">
    <tableColumn id="1" xr3:uid="{E8F9E66F-B6ED-405D-872C-E7811111B52A}" name="DATA" dataDxfId="5"/>
    <tableColumn id="2" xr3:uid="{9802C473-352D-478D-9E3B-38B8C9323A40}" name="PRODUTO" dataDxfId="4"/>
    <tableColumn id="3" xr3:uid="{129219CA-57A5-4387-BA5C-A93B6ECEA676}" name="ENTRADAS" dataDxfId="3"/>
    <tableColumn id="4" xr3:uid="{FC43B072-B106-46D8-8791-8EC37095A93F}" name="MÊS" dataDxfId="2">
      <calculatedColumnFormula>TEXT(TBENTRADA[[#This Row],[DATA]],"MMM")</calculatedColumnFormula>
    </tableColumn>
    <tableColumn id="5" xr3:uid="{C9D4C949-8BB7-4208-A509-FA3BEA493F94}" name="FORNECEDOR" dataDxfId="1"/>
    <tableColumn id="6" xr3:uid="{62D07A78-A440-44FD-A610-477BCF29DE5C}" name="Nº DA NOTA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raimundosilva@gmail.com" TargetMode="External"/><Relationship Id="rId1" Type="http://schemas.openxmlformats.org/officeDocument/2006/relationships/hyperlink" Target="mailto:klebervieirati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mailto:comercialalimentos@gmail.com" TargetMode="External"/><Relationship Id="rId1" Type="http://schemas.openxmlformats.org/officeDocument/2006/relationships/hyperlink" Target="mailto:fabricafortaleza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73009-0E52-4352-8DC8-A8EC46339149}">
  <sheetPr codeName="Planilha1">
    <pageSetUpPr fitToPage="1"/>
  </sheetPr>
  <dimension ref="A1:Z35"/>
  <sheetViews>
    <sheetView showGridLines="0" zoomScaleNormal="100" workbookViewId="0">
      <pane ySplit="13" topLeftCell="A14" activePane="bottomLeft" state="frozen"/>
      <selection pane="bottomLeft" activeCell="D14" sqref="D14"/>
    </sheetView>
  </sheetViews>
  <sheetFormatPr defaultRowHeight="16.5" x14ac:dyDescent="0.3"/>
  <cols>
    <col min="1" max="1" width="3.5703125" style="5" customWidth="1"/>
    <col min="2" max="2" width="37.28515625" style="5" customWidth="1"/>
    <col min="3" max="3" width="17.28515625" style="5" customWidth="1"/>
    <col min="4" max="4" width="20.28515625" style="5" bestFit="1" customWidth="1"/>
    <col min="5" max="5" width="20.42578125" style="14" bestFit="1" customWidth="1"/>
    <col min="6" max="6" width="20.28515625" style="14" bestFit="1" customWidth="1"/>
    <col min="7" max="16384" width="9.140625" style="5"/>
  </cols>
  <sheetData>
    <row r="1" spans="1:26" ht="24.95" customHeight="1" x14ac:dyDescent="0.45">
      <c r="A1" s="3"/>
      <c r="B1" s="2" t="s">
        <v>71</v>
      </c>
      <c r="C1" s="3"/>
      <c r="D1" s="3"/>
      <c r="E1" s="4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6" t="s">
        <v>23</v>
      </c>
      <c r="C3" s="89" t="s">
        <v>63</v>
      </c>
      <c r="D3" s="90"/>
      <c r="E3" s="91"/>
      <c r="F3" s="7" t="s">
        <v>22</v>
      </c>
    </row>
    <row r="4" spans="1:26" x14ac:dyDescent="0.3">
      <c r="B4" s="6" t="s">
        <v>24</v>
      </c>
      <c r="C4" s="92" t="str">
        <f>IFERROR(VLOOKUP(C3,TBCLIENTE[],2,0),"")</f>
        <v>SITIO MATA QUIRI Nº 1717</v>
      </c>
      <c r="D4" s="93"/>
      <c r="E4" s="94"/>
      <c r="F4" s="8">
        <v>390</v>
      </c>
    </row>
    <row r="5" spans="1:26" x14ac:dyDescent="0.3">
      <c r="B5" s="9" t="s">
        <v>15</v>
      </c>
      <c r="C5" s="9" t="s">
        <v>14</v>
      </c>
      <c r="D5" s="9" t="s">
        <v>19</v>
      </c>
      <c r="E5" s="9" t="s">
        <v>21</v>
      </c>
      <c r="F5" s="95">
        <f>F35</f>
        <v>0</v>
      </c>
    </row>
    <row r="6" spans="1:26" x14ac:dyDescent="0.3">
      <c r="B6" s="10"/>
      <c r="C6" s="11">
        <f>IFERROR(VLOOKUP(C3,TBCLIENTE[],3,0),"")</f>
        <v>8591531155</v>
      </c>
      <c r="D6" s="12"/>
      <c r="E6" s="13">
        <f ca="1">TODAY()</f>
        <v>44478</v>
      </c>
      <c r="F6" s="96"/>
    </row>
    <row r="7" spans="1:26" x14ac:dyDescent="0.3">
      <c r="F7" s="97" t="s">
        <v>33</v>
      </c>
    </row>
    <row r="8" spans="1:26" ht="17.25" x14ac:dyDescent="0.3">
      <c r="A8" s="15" t="s">
        <v>20</v>
      </c>
      <c r="B8" s="16" t="s">
        <v>0</v>
      </c>
      <c r="C8" s="16" t="s">
        <v>1</v>
      </c>
      <c r="D8" s="16" t="s">
        <v>2</v>
      </c>
      <c r="E8" s="16" t="s">
        <v>25</v>
      </c>
      <c r="F8" s="98"/>
    </row>
    <row r="9" spans="1:26" ht="17.25" x14ac:dyDescent="0.3">
      <c r="A9" s="15" t="s">
        <v>20</v>
      </c>
      <c r="B9" s="10" t="s">
        <v>49</v>
      </c>
      <c r="C9" s="10"/>
      <c r="D9" s="17">
        <f>IFERROR(VLOOKUP(B9,TBESTOQUE[],6,0),"")</f>
        <v>490</v>
      </c>
      <c r="E9" s="18">
        <f>COUNTA(B14:B32)</f>
        <v>0</v>
      </c>
      <c r="F9" s="98"/>
    </row>
    <row r="10" spans="1:26" x14ac:dyDescent="0.3">
      <c r="B10" s="19"/>
      <c r="C10" s="19"/>
      <c r="D10" s="19"/>
      <c r="E10" s="19"/>
      <c r="F10" s="98"/>
      <c r="H10" s="20"/>
    </row>
    <row r="11" spans="1:26" x14ac:dyDescent="0.3">
      <c r="B11" s="19"/>
      <c r="C11" s="19"/>
      <c r="D11" s="19"/>
      <c r="E11" s="19"/>
      <c r="F11" s="98"/>
      <c r="H11" s="20"/>
    </row>
    <row r="12" spans="1:26" x14ac:dyDescent="0.3">
      <c r="F12" s="99"/>
    </row>
    <row r="13" spans="1:26" x14ac:dyDescent="0.3">
      <c r="B13" s="16" t="s">
        <v>35</v>
      </c>
      <c r="C13" s="16" t="s">
        <v>36</v>
      </c>
      <c r="D13" s="16" t="s">
        <v>17</v>
      </c>
      <c r="E13" s="21" t="s">
        <v>3</v>
      </c>
      <c r="F13" s="21" t="s">
        <v>4</v>
      </c>
    </row>
    <row r="14" spans="1:26" x14ac:dyDescent="0.3">
      <c r="B14" s="10"/>
      <c r="C14" s="10"/>
      <c r="D14" s="22" t="str">
        <f>IFERROR(VLOOKUP(B14,TBPRODUTOS[],2,0),"")</f>
        <v/>
      </c>
      <c r="E14" s="23" t="str" cm="1">
        <f t="array" ref="E14">IF(B14="","",IF($D$6="APRAZO",SUMPRODUCT((TBPRODUTOS[Produto]=B14)*TBPRODUTOS[Venda Aprazo]),SUMPRODUCT((TBPRODUTOS[Produto]=B14)*TBPRODUTOS[[ Venda Avista]])))</f>
        <v/>
      </c>
      <c r="F14" s="23" t="str">
        <f>IFERROR(C14*E14,"")</f>
        <v/>
      </c>
    </row>
    <row r="15" spans="1:26" x14ac:dyDescent="0.3">
      <c r="B15" s="10"/>
      <c r="C15" s="10"/>
      <c r="D15" s="22" t="str">
        <f>IFERROR(VLOOKUP(B15,TBPRODUTOS[],2,0),"")</f>
        <v/>
      </c>
      <c r="E15" s="23" t="str" cm="1">
        <f t="array" ref="E15">IF(B15="","",IF($D$6="APRAZO",SUMPRODUCT((TBPRODUTOS[Produto]=B15)*TBPRODUTOS[Venda Aprazo]),SUMPRODUCT((TBPRODUTOS[Produto]=B15)*TBPRODUTOS[[ Venda Avista]])))</f>
        <v/>
      </c>
      <c r="F15" s="23" t="str">
        <f t="shared" ref="F15:F32" si="0">IFERROR(C15*E15,"")</f>
        <v/>
      </c>
    </row>
    <row r="16" spans="1:26" x14ac:dyDescent="0.3">
      <c r="B16" s="10"/>
      <c r="C16" s="10"/>
      <c r="D16" s="22" t="str">
        <f>IFERROR(VLOOKUP(B16,TBPRODUTOS[],2,0),"")</f>
        <v/>
      </c>
      <c r="E16" s="23" t="str" cm="1">
        <f t="array" ref="E16">IF(B16="","",IF($D$6="APRAZO",SUMPRODUCT((TBPRODUTOS[Produto]=B16)*TBPRODUTOS[Venda Aprazo]),SUMPRODUCT((TBPRODUTOS[Produto]=B16)*TBPRODUTOS[[ Venda Avista]])))</f>
        <v/>
      </c>
      <c r="F16" s="23" t="str">
        <f t="shared" si="0"/>
        <v/>
      </c>
    </row>
    <row r="17" spans="2:6" x14ac:dyDescent="0.3">
      <c r="B17" s="10"/>
      <c r="C17" s="10"/>
      <c r="D17" s="22" t="str">
        <f>IFERROR(VLOOKUP(B17,TBPRODUTOS[],2,0),"")</f>
        <v/>
      </c>
      <c r="E17" s="23" t="str" cm="1">
        <f t="array" ref="E17">IF(B17="","",IF($D$6="APRAZO",SUMPRODUCT((TBPRODUTOS[Produto]=B17)*TBPRODUTOS[Venda Aprazo]),SUMPRODUCT((TBPRODUTOS[Produto]=B17)*TBPRODUTOS[[ Venda Avista]])))</f>
        <v/>
      </c>
      <c r="F17" s="23" t="str">
        <f t="shared" si="0"/>
        <v/>
      </c>
    </row>
    <row r="18" spans="2:6" x14ac:dyDescent="0.3">
      <c r="B18" s="10"/>
      <c r="C18" s="10"/>
      <c r="D18" s="22" t="str">
        <f>IFERROR(VLOOKUP(B18,TBPRODUTOS[],2,0),"")</f>
        <v/>
      </c>
      <c r="E18" s="23" t="str" cm="1">
        <f t="array" ref="E18">IF(B18="","",IF($D$6="APRAZO",SUMPRODUCT((TBPRODUTOS[Produto]=B18)*TBPRODUTOS[Venda Aprazo]),SUMPRODUCT((TBPRODUTOS[Produto]=B18)*TBPRODUTOS[[ Venda Avista]])))</f>
        <v/>
      </c>
      <c r="F18" s="23" t="str">
        <f t="shared" si="0"/>
        <v/>
      </c>
    </row>
    <row r="19" spans="2:6" x14ac:dyDescent="0.3">
      <c r="B19" s="10"/>
      <c r="C19" s="10"/>
      <c r="D19" s="22" t="str">
        <f>IFERROR(VLOOKUP(B19,TBPRODUTOS[],2,0),"")</f>
        <v/>
      </c>
      <c r="E19" s="23" t="str" cm="1">
        <f t="array" ref="E19">IF(B19="","",IF($D$6="APRAZO",SUMPRODUCT((TBPRODUTOS[Produto]=B19)*TBPRODUTOS[Venda Aprazo]),SUMPRODUCT((TBPRODUTOS[Produto]=B19)*TBPRODUTOS[[ Venda Avista]])))</f>
        <v/>
      </c>
      <c r="F19" s="23" t="str">
        <f t="shared" si="0"/>
        <v/>
      </c>
    </row>
    <row r="20" spans="2:6" x14ac:dyDescent="0.3">
      <c r="B20" s="10"/>
      <c r="C20" s="10"/>
      <c r="D20" s="22" t="str">
        <f>IFERROR(VLOOKUP(B20,TBPRODUTOS[],2,0),"")</f>
        <v/>
      </c>
      <c r="E20" s="23" t="str" cm="1">
        <f t="array" ref="E20">IF(B20="","",IF($D$6="APRAZO",SUMPRODUCT((TBPRODUTOS[Produto]=B20)*TBPRODUTOS[Venda Aprazo]),SUMPRODUCT((TBPRODUTOS[Produto]=B20)*TBPRODUTOS[[ Venda Avista]])))</f>
        <v/>
      </c>
      <c r="F20" s="23" t="str">
        <f t="shared" si="0"/>
        <v/>
      </c>
    </row>
    <row r="21" spans="2:6" x14ac:dyDescent="0.3">
      <c r="B21" s="10"/>
      <c r="C21" s="10"/>
      <c r="D21" s="22" t="str">
        <f>IFERROR(VLOOKUP(B21,TBPRODUTOS[],2,0),"")</f>
        <v/>
      </c>
      <c r="E21" s="23" t="str" cm="1">
        <f t="array" ref="E21">IF(B21="","",IF($D$6="APRAZO",SUMPRODUCT((TBPRODUTOS[Produto]=B21)*TBPRODUTOS[Venda Aprazo]),SUMPRODUCT((TBPRODUTOS[Produto]=B21)*TBPRODUTOS[[ Venda Avista]])))</f>
        <v/>
      </c>
      <c r="F21" s="23" t="str">
        <f t="shared" si="0"/>
        <v/>
      </c>
    </row>
    <row r="22" spans="2:6" x14ac:dyDescent="0.3">
      <c r="B22" s="10"/>
      <c r="C22" s="10"/>
      <c r="D22" s="22" t="str">
        <f>IFERROR(VLOOKUP(B22,TBPRODUTOS[],2,0),"")</f>
        <v/>
      </c>
      <c r="E22" s="23" t="str" cm="1">
        <f t="array" ref="E22">IF(B22="","",IF($D$6="APRAZO",SUMPRODUCT((TBPRODUTOS[Produto]=B22)*TBPRODUTOS[Venda Aprazo]),SUMPRODUCT((TBPRODUTOS[Produto]=B22)*TBPRODUTOS[[ Venda Avista]])))</f>
        <v/>
      </c>
      <c r="F22" s="23" t="str">
        <f t="shared" si="0"/>
        <v/>
      </c>
    </row>
    <row r="23" spans="2:6" x14ac:dyDescent="0.3">
      <c r="B23" s="10"/>
      <c r="C23" s="10"/>
      <c r="D23" s="22" t="str">
        <f>IFERROR(VLOOKUP(B23,TBPRODUTOS[],2,0),"")</f>
        <v/>
      </c>
      <c r="E23" s="23" t="str" cm="1">
        <f t="array" ref="E23">IF(B23="","",IF($D$6="APRAZO",SUMPRODUCT((TBPRODUTOS[Produto]=B23)*TBPRODUTOS[Venda Aprazo]),SUMPRODUCT((TBPRODUTOS[Produto]=B23)*TBPRODUTOS[[ Venda Avista]])))</f>
        <v/>
      </c>
      <c r="F23" s="23" t="str">
        <f t="shared" si="0"/>
        <v/>
      </c>
    </row>
    <row r="24" spans="2:6" x14ac:dyDescent="0.3">
      <c r="B24" s="10"/>
      <c r="C24" s="10"/>
      <c r="D24" s="22" t="str">
        <f>IFERROR(VLOOKUP(B24,TBPRODUTOS[],2,0),"")</f>
        <v/>
      </c>
      <c r="E24" s="23" t="str" cm="1">
        <f t="array" ref="E24">IF(B24="","",IF($D$6="APRAZO",SUMPRODUCT((TBPRODUTOS[Produto]=B24)*TBPRODUTOS[Venda Aprazo]),SUMPRODUCT((TBPRODUTOS[Produto]=B24)*TBPRODUTOS[[ Venda Avista]])))</f>
        <v/>
      </c>
      <c r="F24" s="23" t="str">
        <f t="shared" si="0"/>
        <v/>
      </c>
    </row>
    <row r="25" spans="2:6" x14ac:dyDescent="0.3">
      <c r="B25" s="10"/>
      <c r="C25" s="10"/>
      <c r="D25" s="22" t="str">
        <f>IFERROR(VLOOKUP(B25,TBPRODUTOS[],2,0),"")</f>
        <v/>
      </c>
      <c r="E25" s="23" t="str" cm="1">
        <f t="array" ref="E25">IF(B25="","",IF($D$6="APRAZO",SUMPRODUCT((TBPRODUTOS[Produto]=B25)*TBPRODUTOS[Venda Aprazo]),SUMPRODUCT((TBPRODUTOS[Produto]=B25)*TBPRODUTOS[[ Venda Avista]])))</f>
        <v/>
      </c>
      <c r="F25" s="23" t="str">
        <f t="shared" si="0"/>
        <v/>
      </c>
    </row>
    <row r="26" spans="2:6" x14ac:dyDescent="0.3">
      <c r="B26" s="10"/>
      <c r="C26" s="10"/>
      <c r="D26" s="22" t="str">
        <f>IFERROR(VLOOKUP(B26,TBPRODUTOS[],2,0),"")</f>
        <v/>
      </c>
      <c r="E26" s="23" t="str" cm="1">
        <f t="array" ref="E26">IF(B26="","",IF($D$6="APRAZO",SUMPRODUCT((TBPRODUTOS[Produto]=B26)*TBPRODUTOS[Venda Aprazo]),SUMPRODUCT((TBPRODUTOS[Produto]=B26)*TBPRODUTOS[[ Venda Avista]])))</f>
        <v/>
      </c>
      <c r="F26" s="23" t="str">
        <f t="shared" si="0"/>
        <v/>
      </c>
    </row>
    <row r="27" spans="2:6" x14ac:dyDescent="0.3">
      <c r="B27" s="10"/>
      <c r="C27" s="10"/>
      <c r="D27" s="22" t="str">
        <f>IFERROR(VLOOKUP(B27,TBPRODUTOS[],2,0),"")</f>
        <v/>
      </c>
      <c r="E27" s="23" t="str" cm="1">
        <f t="array" ref="E27">IF(B27="","",IF($D$6="APRAZO",SUMPRODUCT((TBPRODUTOS[Produto]=B27)*TBPRODUTOS[Venda Aprazo]),SUMPRODUCT((TBPRODUTOS[Produto]=B27)*TBPRODUTOS[[ Venda Avista]])))</f>
        <v/>
      </c>
      <c r="F27" s="23" t="str">
        <f t="shared" si="0"/>
        <v/>
      </c>
    </row>
    <row r="28" spans="2:6" x14ac:dyDescent="0.3">
      <c r="B28" s="10"/>
      <c r="C28" s="10"/>
      <c r="D28" s="22" t="str">
        <f>IFERROR(VLOOKUP(B28,TBPRODUTOS[],2,0),"")</f>
        <v/>
      </c>
      <c r="E28" s="23" t="str" cm="1">
        <f t="array" ref="E28">IF(B28="","",IF($D$6="APRAZO",SUMPRODUCT((TBPRODUTOS[Produto]=B28)*TBPRODUTOS[Venda Aprazo]),SUMPRODUCT((TBPRODUTOS[Produto]=B28)*TBPRODUTOS[[ Venda Avista]])))</f>
        <v/>
      </c>
      <c r="F28" s="23" t="str">
        <f t="shared" si="0"/>
        <v/>
      </c>
    </row>
    <row r="29" spans="2:6" x14ac:dyDescent="0.3">
      <c r="B29" s="10"/>
      <c r="C29" s="10"/>
      <c r="D29" s="22" t="str">
        <f>IFERROR(VLOOKUP(B29,TBPRODUTOS[],2,0),"")</f>
        <v/>
      </c>
      <c r="E29" s="23" t="str" cm="1">
        <f t="array" ref="E29">IF(B29="","",IF($D$6="APRAZO",SUMPRODUCT((TBPRODUTOS[Produto]=B29)*TBPRODUTOS[Venda Aprazo]),SUMPRODUCT((TBPRODUTOS[Produto]=B29)*TBPRODUTOS[[ Venda Avista]])))</f>
        <v/>
      </c>
      <c r="F29" s="23" t="str">
        <f t="shared" si="0"/>
        <v/>
      </c>
    </row>
    <row r="30" spans="2:6" x14ac:dyDescent="0.3">
      <c r="B30" s="10"/>
      <c r="C30" s="10"/>
      <c r="D30" s="22" t="str">
        <f>IFERROR(VLOOKUP(B30,TBPRODUTOS[],2,0),"")</f>
        <v/>
      </c>
      <c r="E30" s="23" t="str" cm="1">
        <f t="array" ref="E30">IF(B30="","",IF($D$6="APRAZO",SUMPRODUCT((TBPRODUTOS[Produto]=B30)*TBPRODUTOS[Venda Aprazo]),SUMPRODUCT((TBPRODUTOS[Produto]=B30)*TBPRODUTOS[[ Venda Avista]])))</f>
        <v/>
      </c>
      <c r="F30" s="23" t="str">
        <f t="shared" si="0"/>
        <v/>
      </c>
    </row>
    <row r="31" spans="2:6" x14ac:dyDescent="0.3">
      <c r="B31" s="10"/>
      <c r="C31" s="10"/>
      <c r="D31" s="22" t="str">
        <f>IFERROR(VLOOKUP(B31,TBPRODUTOS[],2,0),"")</f>
        <v/>
      </c>
      <c r="E31" s="23" t="str" cm="1">
        <f t="array" ref="E31">IF(B31="","",IF($D$6="APRAZO",SUMPRODUCT((TBPRODUTOS[Produto]=B31)*TBPRODUTOS[Venda Aprazo]),SUMPRODUCT((TBPRODUTOS[Produto]=B31)*TBPRODUTOS[[ Venda Avista]])))</f>
        <v/>
      </c>
      <c r="F31" s="23" t="str">
        <f t="shared" si="0"/>
        <v/>
      </c>
    </row>
    <row r="32" spans="2:6" x14ac:dyDescent="0.3">
      <c r="B32" s="10"/>
      <c r="C32" s="10"/>
      <c r="D32" s="22" t="str">
        <f>IFERROR(VLOOKUP(B32,TBPRODUTOS[],2,0),"")</f>
        <v/>
      </c>
      <c r="E32" s="23" t="str" cm="1">
        <f t="array" ref="E32">IF(B32="","",IF($D$6="APRAZO",SUMPRODUCT((TBPRODUTOS[Produto]=B32)*TBPRODUTOS[Venda Aprazo]),SUMPRODUCT((TBPRODUTOS[Produto]=B32)*TBPRODUTOS[[ Venda Avista]])))</f>
        <v/>
      </c>
      <c r="F32" s="23" t="str">
        <f t="shared" si="0"/>
        <v/>
      </c>
    </row>
    <row r="33" spans="5:6" x14ac:dyDescent="0.3">
      <c r="E33" s="6" t="s">
        <v>26</v>
      </c>
      <c r="F33" s="24">
        <f>SUM(F14:F32)</f>
        <v>0</v>
      </c>
    </row>
    <row r="34" spans="5:6" x14ac:dyDescent="0.3">
      <c r="E34" s="6" t="s">
        <v>27</v>
      </c>
      <c r="F34" s="25">
        <v>0.08</v>
      </c>
    </row>
    <row r="35" spans="5:6" x14ac:dyDescent="0.3">
      <c r="E35" s="6" t="s">
        <v>28</v>
      </c>
      <c r="F35" s="24">
        <f>F33-(F33*F34)</f>
        <v>0</v>
      </c>
    </row>
  </sheetData>
  <sheetProtection selectLockedCells="1"/>
  <mergeCells count="4">
    <mergeCell ref="C3:E3"/>
    <mergeCell ref="C4:E4"/>
    <mergeCell ref="F5:F6"/>
    <mergeCell ref="F7:F12"/>
  </mergeCells>
  <conditionalFormatting sqref="D9">
    <cfRule type="cellIs" dxfId="63" priority="1" operator="greaterThan">
      <formula>0</formula>
    </cfRule>
    <cfRule type="cellIs" dxfId="62" priority="2" operator="equal">
      <formula>0</formula>
    </cfRule>
  </conditionalFormatting>
  <dataValidations count="4">
    <dataValidation type="list" allowBlank="1" showInputMessage="1" showErrorMessage="1" prompt="ESCOLHA UM PRODUTO" sqref="B9" xr:uid="{05DFF2F9-FD6A-4AC9-B1E5-D428692CF142}">
      <formula1>PRODUTOS</formula1>
    </dataValidation>
    <dataValidation type="list" allowBlank="1" showInputMessage="1" showErrorMessage="1" prompt="INFORME O TIPO DE PREÇO" sqref="D6" xr:uid="{A4DB505B-2AD6-471E-BACA-EBD83B1434E2}">
      <formula1>"AVISTA,APRAZO"</formula1>
    </dataValidation>
    <dataValidation type="list" allowBlank="1" showInputMessage="1" showErrorMessage="1" sqref="B6" xr:uid="{E6446B76-7DFB-4A58-8746-83F98B99B7E5}">
      <formula1>VENDEDOR</formula1>
    </dataValidation>
    <dataValidation type="list" allowBlank="1" showInputMessage="1" showErrorMessage="1" sqref="C3:E3" xr:uid="{9C093F20-56EA-4BC4-847B-45E0D17968A6}">
      <formula1>CLIENTE</formula1>
    </dataValidation>
  </dataValidations>
  <pageMargins left="0.19685039370078741" right="0.23622047244094491" top="0.74803149606299213" bottom="0.74803149606299213" header="0.31496062992125984" footer="0.31496062992125984"/>
  <pageSetup paperSize="9" scale="8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Vendas">
                <anchor moveWithCells="1" sizeWithCells="1">
                  <from>
                    <xdr:col>5</xdr:col>
                    <xdr:colOff>1285875</xdr:colOff>
                    <xdr:row>5</xdr:row>
                    <xdr:rowOff>161925</xdr:rowOff>
                  </from>
                  <to>
                    <xdr:col>8</xdr:col>
                    <xdr:colOff>171450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IMPARPEDIDO">
                <anchor moveWithCells="1" sizeWithCells="1">
                  <from>
                    <xdr:col>6</xdr:col>
                    <xdr:colOff>190500</xdr:colOff>
                    <xdr:row>8</xdr:row>
                    <xdr:rowOff>123825</xdr:rowOff>
                  </from>
                  <to>
                    <xdr:col>8</xdr:col>
                    <xdr:colOff>9525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RIMIR">
                <anchor moveWithCells="1" sizeWithCells="1">
                  <from>
                    <xdr:col>6</xdr:col>
                    <xdr:colOff>104775</xdr:colOff>
                    <xdr:row>2</xdr:row>
                    <xdr:rowOff>180975</xdr:rowOff>
                  </from>
                  <to>
                    <xdr:col>8</xdr:col>
                    <xdr:colOff>152400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4EA5-7467-496A-86C3-62830F05A696}">
  <sheetPr codeName="Planilha5">
    <pageSetUpPr fitToPage="1"/>
  </sheetPr>
  <dimension ref="A1:Z32"/>
  <sheetViews>
    <sheetView showGridLines="0" tabSelected="1" zoomScaleNormal="100" workbookViewId="0">
      <pane ySplit="12" topLeftCell="A13" activePane="bottomLeft" state="frozen"/>
      <selection pane="bottomLeft" activeCell="B8" sqref="B8"/>
    </sheetView>
  </sheetViews>
  <sheetFormatPr defaultRowHeight="16.5" x14ac:dyDescent="0.3"/>
  <cols>
    <col min="1" max="1" width="3.5703125" style="5" customWidth="1"/>
    <col min="2" max="2" width="43.85546875" style="5" bestFit="1" customWidth="1"/>
    <col min="3" max="3" width="16.85546875" style="5" bestFit="1" customWidth="1"/>
    <col min="4" max="4" width="11.140625" style="5" bestFit="1" customWidth="1"/>
    <col min="5" max="5" width="24" style="14" bestFit="1" customWidth="1"/>
    <col min="6" max="6" width="28.28515625" style="14" bestFit="1" customWidth="1"/>
    <col min="7" max="16384" width="9.140625" style="5"/>
  </cols>
  <sheetData>
    <row r="1" spans="1:26" ht="24.95" customHeight="1" x14ac:dyDescent="0.45">
      <c r="A1" s="3"/>
      <c r="B1" s="2" t="s">
        <v>75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26" t="s">
        <v>37</v>
      </c>
      <c r="C3" s="92" t="s">
        <v>78</v>
      </c>
      <c r="D3" s="94"/>
      <c r="E3" s="26" t="s">
        <v>40</v>
      </c>
      <c r="F3" s="27"/>
    </row>
    <row r="4" spans="1:26" x14ac:dyDescent="0.3">
      <c r="B4" s="26" t="s">
        <v>24</v>
      </c>
      <c r="C4" s="92" t="str">
        <f>IFERROR(VLOOKUP(C3,TBFORNECEDOR[],2,0),"")</f>
        <v>RUA DAS CARNAUBAS Nº3528</v>
      </c>
      <c r="D4" s="93"/>
      <c r="E4" s="94"/>
    </row>
    <row r="5" spans="1:26" ht="15" customHeight="1" x14ac:dyDescent="0.3">
      <c r="B5" s="28" t="s">
        <v>39</v>
      </c>
      <c r="C5" s="100">
        <f>IFERROR(VLOOKUP(C3,TBFORNECEDOR[],3,0),"")</f>
        <v>8533341510</v>
      </c>
      <c r="D5" s="101"/>
      <c r="E5" s="28" t="s">
        <v>41</v>
      </c>
      <c r="F5" s="13">
        <f ca="1">TODAY()</f>
        <v>44478</v>
      </c>
    </row>
    <row r="6" spans="1:26" x14ac:dyDescent="0.3">
      <c r="F6" s="29"/>
    </row>
    <row r="7" spans="1:26" ht="17.25" x14ac:dyDescent="0.3">
      <c r="A7" s="15" t="s">
        <v>20</v>
      </c>
      <c r="B7" s="30" t="s">
        <v>0</v>
      </c>
      <c r="C7" s="30" t="s">
        <v>1</v>
      </c>
      <c r="D7" s="30" t="s">
        <v>2</v>
      </c>
      <c r="E7" s="30" t="s">
        <v>25</v>
      </c>
      <c r="F7" s="31" t="s">
        <v>73</v>
      </c>
    </row>
    <row r="8" spans="1:26" ht="17.25" x14ac:dyDescent="0.3">
      <c r="A8" s="15" t="s">
        <v>20</v>
      </c>
      <c r="B8" s="27" t="s">
        <v>84</v>
      </c>
      <c r="C8" s="27"/>
      <c r="D8" s="27">
        <f>IFERROR(VLOOKUP(B8,TBESTOQUE[],6,0),"")</f>
        <v>5</v>
      </c>
      <c r="E8" s="32">
        <f>COUNTA(B13:B31)</f>
        <v>0</v>
      </c>
      <c r="F8" s="102">
        <f>F32</f>
        <v>0</v>
      </c>
    </row>
    <row r="9" spans="1:26" x14ac:dyDescent="0.3">
      <c r="B9" s="19"/>
      <c r="C9" s="19"/>
      <c r="D9" s="19"/>
      <c r="E9" s="19"/>
      <c r="F9" s="103"/>
      <c r="H9" s="20"/>
    </row>
    <row r="10" spans="1:26" x14ac:dyDescent="0.3">
      <c r="B10" s="19"/>
      <c r="C10" s="19"/>
      <c r="D10" s="19"/>
      <c r="E10" s="19"/>
      <c r="F10" s="103"/>
      <c r="H10" s="20"/>
    </row>
    <row r="11" spans="1:26" x14ac:dyDescent="0.3">
      <c r="F11" s="103"/>
    </row>
    <row r="12" spans="1:26" x14ac:dyDescent="0.3">
      <c r="B12" s="30" t="s">
        <v>35</v>
      </c>
      <c r="C12" s="30" t="s">
        <v>36</v>
      </c>
      <c r="D12" s="30" t="s">
        <v>17</v>
      </c>
      <c r="E12" s="33" t="s">
        <v>38</v>
      </c>
      <c r="F12" s="34" t="s">
        <v>4</v>
      </c>
    </row>
    <row r="13" spans="1:26" x14ac:dyDescent="0.3">
      <c r="B13" s="27"/>
      <c r="C13" s="27"/>
      <c r="D13" s="27" t="str">
        <f>IFERROR(VLOOKUP(B13,TBPRODUTOS[],2,0),"")</f>
        <v/>
      </c>
      <c r="E13" s="24" t="str" cm="1">
        <f t="array" ref="E13">IF(B13="","",SUMPRODUCT((TBPRODUTOS[Produto]=B13)*TBPRODUTOS[Preço De Custo]))</f>
        <v/>
      </c>
      <c r="F13" s="35" t="str">
        <f>IFERROR(C13*E13,"")</f>
        <v/>
      </c>
    </row>
    <row r="14" spans="1:26" x14ac:dyDescent="0.3">
      <c r="B14" s="27"/>
      <c r="C14" s="27"/>
      <c r="D14" s="27" t="str">
        <f>IFERROR(VLOOKUP(B14,TBPRODUTOS[],2,0),"")</f>
        <v/>
      </c>
      <c r="E14" s="24" t="str" cm="1">
        <f t="array" ref="E14">IF(B14="","",SUMPRODUCT((TBPRODUTOS[Produto]=B14)*TBPRODUTOS[Preço De Custo]))</f>
        <v/>
      </c>
      <c r="F14" s="35" t="str">
        <f t="shared" ref="F14:F31" si="0">IFERROR(C14*E14,"")</f>
        <v/>
      </c>
    </row>
    <row r="15" spans="1:26" x14ac:dyDescent="0.3">
      <c r="B15" s="27"/>
      <c r="C15" s="27"/>
      <c r="D15" s="27" t="str">
        <f>IFERROR(VLOOKUP(B15,TBPRODUTOS[],2,0),"")</f>
        <v/>
      </c>
      <c r="E15" s="24" t="str" cm="1">
        <f t="array" ref="E15">IF(B15="","",SUMPRODUCT((TBPRODUTOS[Produto]=B15)*TBPRODUTOS[Preço De Custo]))</f>
        <v/>
      </c>
      <c r="F15" s="35" t="str">
        <f t="shared" si="0"/>
        <v/>
      </c>
    </row>
    <row r="16" spans="1:26" x14ac:dyDescent="0.3">
      <c r="B16" s="27"/>
      <c r="C16" s="27"/>
      <c r="D16" s="27" t="str">
        <f>IFERROR(VLOOKUP(B16,TBPRODUTOS[],2,0),"")</f>
        <v/>
      </c>
      <c r="E16" s="24" t="str" cm="1">
        <f t="array" ref="E16">IF(B16="","",SUMPRODUCT((TBPRODUTOS[Produto]=B16)*TBPRODUTOS[Preço De Custo]))</f>
        <v/>
      </c>
      <c r="F16" s="35" t="str">
        <f t="shared" si="0"/>
        <v/>
      </c>
    </row>
    <row r="17" spans="2:6" x14ac:dyDescent="0.3">
      <c r="B17" s="27"/>
      <c r="C17" s="27"/>
      <c r="D17" s="27" t="str">
        <f>IFERROR(VLOOKUP(B17,TBPRODUTOS[],2,0),"")</f>
        <v/>
      </c>
      <c r="E17" s="24" t="str" cm="1">
        <f t="array" ref="E17">IF(B17="","",SUMPRODUCT((TBPRODUTOS[Produto]=B17)*TBPRODUTOS[Preço De Custo]))</f>
        <v/>
      </c>
      <c r="F17" s="35" t="str">
        <f t="shared" si="0"/>
        <v/>
      </c>
    </row>
    <row r="18" spans="2:6" x14ac:dyDescent="0.3">
      <c r="B18" s="27"/>
      <c r="C18" s="27"/>
      <c r="D18" s="27" t="str">
        <f>IFERROR(VLOOKUP(B18,TBPRODUTOS[],2,0),"")</f>
        <v/>
      </c>
      <c r="E18" s="24" t="str" cm="1">
        <f t="array" ref="E18">IF(B18="","",SUMPRODUCT((TBPRODUTOS[Produto]=B18)*TBPRODUTOS[Preço De Custo]))</f>
        <v/>
      </c>
      <c r="F18" s="35" t="str">
        <f t="shared" si="0"/>
        <v/>
      </c>
    </row>
    <row r="19" spans="2:6" x14ac:dyDescent="0.3">
      <c r="B19" s="27"/>
      <c r="C19" s="27"/>
      <c r="D19" s="27" t="str">
        <f>IFERROR(VLOOKUP(B19,TBPRODUTOS[],2,0),"")</f>
        <v/>
      </c>
      <c r="E19" s="24" t="str" cm="1">
        <f t="array" ref="E19">IF(B19="","",SUMPRODUCT((TBPRODUTOS[Produto]=B19)*TBPRODUTOS[Preço De Custo]))</f>
        <v/>
      </c>
      <c r="F19" s="35" t="str">
        <f t="shared" si="0"/>
        <v/>
      </c>
    </row>
    <row r="20" spans="2:6" x14ac:dyDescent="0.3">
      <c r="B20" s="27"/>
      <c r="C20" s="27"/>
      <c r="D20" s="27" t="str">
        <f>IFERROR(VLOOKUP(B20,TBPRODUTOS[],2,0),"")</f>
        <v/>
      </c>
      <c r="E20" s="24" t="str" cm="1">
        <f t="array" ref="E20">IF(B20="","",SUMPRODUCT((TBPRODUTOS[Produto]=B20)*TBPRODUTOS[Preço De Custo]))</f>
        <v/>
      </c>
      <c r="F20" s="35" t="str">
        <f t="shared" si="0"/>
        <v/>
      </c>
    </row>
    <row r="21" spans="2:6" x14ac:dyDescent="0.3">
      <c r="B21" s="27"/>
      <c r="C21" s="27"/>
      <c r="D21" s="27" t="str">
        <f>IFERROR(VLOOKUP(B21,TBPRODUTOS[],2,0),"")</f>
        <v/>
      </c>
      <c r="E21" s="24" t="str" cm="1">
        <f t="array" ref="E21">IF(B21="","",SUMPRODUCT((TBPRODUTOS[Produto]=B21)*TBPRODUTOS[Preço De Custo]))</f>
        <v/>
      </c>
      <c r="F21" s="35" t="str">
        <f t="shared" si="0"/>
        <v/>
      </c>
    </row>
    <row r="22" spans="2:6" x14ac:dyDescent="0.3">
      <c r="B22" s="27"/>
      <c r="C22" s="27"/>
      <c r="D22" s="27" t="str">
        <f>IFERROR(VLOOKUP(B22,TBPRODUTOS[],2,0),"")</f>
        <v/>
      </c>
      <c r="E22" s="24" t="str" cm="1">
        <f t="array" ref="E22">IF(B22="","",SUMPRODUCT((TBPRODUTOS[Produto]=B22)*TBPRODUTOS[Preço De Custo]))</f>
        <v/>
      </c>
      <c r="F22" s="35" t="str">
        <f t="shared" si="0"/>
        <v/>
      </c>
    </row>
    <row r="23" spans="2:6" x14ac:dyDescent="0.3">
      <c r="B23" s="27"/>
      <c r="C23" s="27"/>
      <c r="D23" s="27" t="str">
        <f>IFERROR(VLOOKUP(B23,TBPRODUTOS[],2,0),"")</f>
        <v/>
      </c>
      <c r="E23" s="24" t="str" cm="1">
        <f t="array" ref="E23">IF(B23="","",SUMPRODUCT((TBPRODUTOS[Produto]=B23)*TBPRODUTOS[Preço De Custo]))</f>
        <v/>
      </c>
      <c r="F23" s="35" t="str">
        <f t="shared" si="0"/>
        <v/>
      </c>
    </row>
    <row r="24" spans="2:6" x14ac:dyDescent="0.3">
      <c r="B24" s="27"/>
      <c r="C24" s="27"/>
      <c r="D24" s="27" t="str">
        <f>IFERROR(VLOOKUP(B24,TBPRODUTOS[],2,0),"")</f>
        <v/>
      </c>
      <c r="E24" s="24" t="str" cm="1">
        <f t="array" ref="E24">IF(B24="","",SUMPRODUCT((TBPRODUTOS[Produto]=B24)*TBPRODUTOS[Preço De Custo]))</f>
        <v/>
      </c>
      <c r="F24" s="35" t="str">
        <f t="shared" si="0"/>
        <v/>
      </c>
    </row>
    <row r="25" spans="2:6" x14ac:dyDescent="0.3">
      <c r="B25" s="27"/>
      <c r="C25" s="27"/>
      <c r="D25" s="27" t="str">
        <f>IFERROR(VLOOKUP(B25,TBPRODUTOS[],2,0),"")</f>
        <v/>
      </c>
      <c r="E25" s="24" t="str" cm="1">
        <f t="array" ref="E25">IF(B25="","",SUMPRODUCT((TBPRODUTOS[Produto]=B25)*TBPRODUTOS[Preço De Custo]))</f>
        <v/>
      </c>
      <c r="F25" s="35" t="str">
        <f t="shared" si="0"/>
        <v/>
      </c>
    </row>
    <row r="26" spans="2:6" x14ac:dyDescent="0.3">
      <c r="B26" s="27"/>
      <c r="C26" s="27"/>
      <c r="D26" s="27" t="str">
        <f>IFERROR(VLOOKUP(B26,TBPRODUTOS[],2,0),"")</f>
        <v/>
      </c>
      <c r="E26" s="24" t="str" cm="1">
        <f t="array" ref="E26">IF(B26="","",SUMPRODUCT((TBPRODUTOS[Produto]=B26)*TBPRODUTOS[Preço De Custo]))</f>
        <v/>
      </c>
      <c r="F26" s="35" t="str">
        <f t="shared" si="0"/>
        <v/>
      </c>
    </row>
    <row r="27" spans="2:6" x14ac:dyDescent="0.3">
      <c r="B27" s="27"/>
      <c r="C27" s="27"/>
      <c r="D27" s="27" t="str">
        <f>IFERROR(VLOOKUP(B27,TBPRODUTOS[],2,0),"")</f>
        <v/>
      </c>
      <c r="E27" s="24" t="str" cm="1">
        <f t="array" ref="E27">IF(B27="","",SUMPRODUCT((TBPRODUTOS[Produto]=B27)*TBPRODUTOS[Preço De Custo]))</f>
        <v/>
      </c>
      <c r="F27" s="35" t="str">
        <f t="shared" si="0"/>
        <v/>
      </c>
    </row>
    <row r="28" spans="2:6" x14ac:dyDescent="0.3">
      <c r="B28" s="27"/>
      <c r="C28" s="27"/>
      <c r="D28" s="27" t="str">
        <f>IFERROR(VLOOKUP(B28,TBPRODUTOS[],2,0),"")</f>
        <v/>
      </c>
      <c r="E28" s="24" t="str" cm="1">
        <f t="array" ref="E28">IF(B28="","",SUMPRODUCT((TBPRODUTOS[Produto]=B28)*TBPRODUTOS[Preço De Custo]))</f>
        <v/>
      </c>
      <c r="F28" s="35" t="str">
        <f t="shared" si="0"/>
        <v/>
      </c>
    </row>
    <row r="29" spans="2:6" x14ac:dyDescent="0.3">
      <c r="B29" s="27"/>
      <c r="C29" s="27"/>
      <c r="D29" s="27" t="str">
        <f>IFERROR(VLOOKUP(B29,TBPRODUTOS[],2,0),"")</f>
        <v/>
      </c>
      <c r="E29" s="24" t="str" cm="1">
        <f t="array" ref="E29">IF(B29="","",SUMPRODUCT((TBPRODUTOS[Produto]=B29)*TBPRODUTOS[Preço De Custo]))</f>
        <v/>
      </c>
      <c r="F29" s="35" t="str">
        <f t="shared" si="0"/>
        <v/>
      </c>
    </row>
    <row r="30" spans="2:6" x14ac:dyDescent="0.3">
      <c r="B30" s="27"/>
      <c r="C30" s="27"/>
      <c r="D30" s="27" t="str">
        <f>IFERROR(VLOOKUP(B30,TBPRODUTOS[],2,0),"")</f>
        <v/>
      </c>
      <c r="E30" s="24" t="str" cm="1">
        <f t="array" ref="E30">IF(B30="","",SUMPRODUCT((TBPRODUTOS[Produto]=B30)*TBPRODUTOS[Preço De Custo]))</f>
        <v/>
      </c>
      <c r="F30" s="35" t="str">
        <f t="shared" si="0"/>
        <v/>
      </c>
    </row>
    <row r="31" spans="2:6" x14ac:dyDescent="0.3">
      <c r="B31" s="27"/>
      <c r="C31" s="27"/>
      <c r="D31" s="27" t="str">
        <f>IFERROR(VLOOKUP(B31,TBPRODUTOS[],2,0),"")</f>
        <v/>
      </c>
      <c r="E31" s="24" t="str" cm="1">
        <f t="array" ref="E31">IF(B31="","",SUMPRODUCT((TBPRODUTOS[Produto]=B31)*TBPRODUTOS[Preço De Custo]))</f>
        <v/>
      </c>
      <c r="F31" s="35" t="str">
        <f t="shared" si="0"/>
        <v/>
      </c>
    </row>
    <row r="32" spans="2:6" x14ac:dyDescent="0.3">
      <c r="E32" s="6" t="s">
        <v>26</v>
      </c>
      <c r="F32" s="24">
        <f>SUM(F13:F31)</f>
        <v>0</v>
      </c>
    </row>
  </sheetData>
  <mergeCells count="4">
    <mergeCell ref="C4:E4"/>
    <mergeCell ref="C3:D3"/>
    <mergeCell ref="C5:D5"/>
    <mergeCell ref="F8:F11"/>
  </mergeCells>
  <dataValidations count="2">
    <dataValidation type="list" allowBlank="1" showInputMessage="1" showErrorMessage="1" sqref="B8" xr:uid="{3E190A57-0608-4440-BA04-174F4F8EFB1C}">
      <formula1>PRODUTOS</formula1>
    </dataValidation>
    <dataValidation type="list" allowBlank="1" showInputMessage="1" showErrorMessage="1" sqref="C3:D3" xr:uid="{8FC99C17-5AF6-4C26-B1B9-1F138EC74528}">
      <formula1>FORNECEDOR</formula1>
    </dataValidation>
  </dataValidations>
  <pageMargins left="0.19685039370078741" right="0.23622047244094491" top="0.74803149606299213" bottom="0.74803149606299213" header="0.31496062992125984" footer="0.31496062992125984"/>
  <pageSetup paperSize="9" scale="8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NTRADAS">
                <anchor moveWithCells="1" sizeWithCells="1">
                  <from>
                    <xdr:col>1</xdr:col>
                    <xdr:colOff>2400300</xdr:colOff>
                    <xdr:row>8</xdr:row>
                    <xdr:rowOff>66675</xdr:rowOff>
                  </from>
                  <to>
                    <xdr:col>3</xdr:col>
                    <xdr:colOff>171450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LIMPARENTRADA">
                <anchor moveWithCells="1" sizeWithCells="1">
                  <from>
                    <xdr:col>3</xdr:col>
                    <xdr:colOff>323850</xdr:colOff>
                    <xdr:row>8</xdr:row>
                    <xdr:rowOff>66675</xdr:rowOff>
                  </from>
                  <to>
                    <xdr:col>4</xdr:col>
                    <xdr:colOff>600075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27BF-26E0-46F7-BFFD-15CE66368504}">
  <sheetPr codeName="Planilha3"/>
  <dimension ref="A1:AB13"/>
  <sheetViews>
    <sheetView showGridLines="0" workbookViewId="0">
      <pane ySplit="3" topLeftCell="A4" activePane="bottomLeft" state="frozen"/>
      <selection pane="bottomLeft" activeCell="D4" sqref="D4"/>
    </sheetView>
  </sheetViews>
  <sheetFormatPr defaultRowHeight="16.5" x14ac:dyDescent="0.3"/>
  <cols>
    <col min="1" max="1" width="3.5703125" style="5" customWidth="1"/>
    <col min="2" max="2" width="23.28515625" style="5" customWidth="1"/>
    <col min="3" max="3" width="13.85546875" style="53" customWidth="1"/>
    <col min="4" max="6" width="15.28515625" style="53" customWidth="1"/>
    <col min="7" max="7" width="17.140625" style="53" customWidth="1"/>
    <col min="8" max="8" width="22.5703125" style="5" customWidth="1"/>
    <col min="9" max="9" width="17.28515625" style="14" customWidth="1"/>
    <col min="10" max="10" width="15.85546875" style="14" bestFit="1" customWidth="1"/>
    <col min="11" max="11" width="20.7109375" style="5" customWidth="1"/>
    <col min="12" max="12" width="14" style="5" customWidth="1"/>
    <col min="13" max="13" width="21.85546875" style="14" customWidth="1"/>
    <col min="14" max="16384" width="9.140625" style="5"/>
  </cols>
  <sheetData>
    <row r="1" spans="1:28" ht="24.95" customHeight="1" x14ac:dyDescent="0.45">
      <c r="A1" s="3"/>
      <c r="B1" s="2" t="s">
        <v>76</v>
      </c>
      <c r="C1" s="52"/>
      <c r="D1" s="52"/>
      <c r="E1" s="52"/>
      <c r="F1" s="52"/>
      <c r="G1" s="52"/>
      <c r="H1" s="3"/>
      <c r="I1" s="4"/>
      <c r="J1" s="4"/>
      <c r="K1" s="3"/>
      <c r="L1" s="3"/>
      <c r="M1" s="4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x14ac:dyDescent="0.3">
      <c r="L2" s="36">
        <f>SUBTOTAL(1,TBESTOQUE[Lucro (%)])</f>
        <v>0.35833333333333334</v>
      </c>
      <c r="M2" s="37">
        <f>SUBTOTAL(9,TBESTOQUE[ESTOQUE LIQUIDO])</f>
        <v>621937</v>
      </c>
    </row>
    <row r="3" spans="1:28" x14ac:dyDescent="0.3">
      <c r="B3" s="5" t="s">
        <v>6</v>
      </c>
      <c r="C3" s="53" t="s">
        <v>42</v>
      </c>
      <c r="D3" s="53" t="s">
        <v>43</v>
      </c>
      <c r="E3" s="53" t="s">
        <v>89</v>
      </c>
      <c r="F3" s="53" t="s">
        <v>90</v>
      </c>
      <c r="G3" s="53" t="s">
        <v>2</v>
      </c>
      <c r="H3" s="5" t="s">
        <v>44</v>
      </c>
      <c r="I3" s="14" t="s">
        <v>51</v>
      </c>
      <c r="J3" s="14" t="s">
        <v>45</v>
      </c>
      <c r="K3" s="5" t="s">
        <v>52</v>
      </c>
      <c r="L3" s="5" t="s">
        <v>53</v>
      </c>
      <c r="M3" s="14" t="s">
        <v>54</v>
      </c>
    </row>
    <row r="4" spans="1:28" x14ac:dyDescent="0.3">
      <c r="B4" s="5" t="s">
        <v>7</v>
      </c>
      <c r="C4" s="53">
        <f>SUMIF(TBENTRADA[PRODUTO],TBESTOQUE[[#This Row],[Produto]],TBENTRADA[ENTRADAS])</f>
        <v>500</v>
      </c>
      <c r="D4" s="53">
        <f>SUMIF(TBSAIDA[PRODUTO],TBESTOQUE[[#This Row],[Produto]],TBSAIDA[SAIDAS])</f>
        <v>285</v>
      </c>
      <c r="E4" s="53">
        <v>10</v>
      </c>
      <c r="F4" s="53">
        <v>25</v>
      </c>
      <c r="G4" s="68">
        <f>(TBESTOQUE[[#This Row],[Entradas]]-TBESTOQUE[[#This Row],[Saídas]])+TBESTOQUE[[#This Row],[Mais(+)]]-TBESTOQUE[[#This Row],[Menos(-)]]</f>
        <v>200</v>
      </c>
      <c r="H4" s="5" t="str">
        <f>IF(TBESTOQUE[[#This Row],[ESTOQUE]]&lt;CADPRODUTOS!H10,"COMPRAR",IF(TBESTOQUE[[#This Row],[ESTOQUE]]&gt;CADPRODUTOS!I10,"ESTOQUE ALTO","ESTOQUE OK"))</f>
        <v>ESTOQUE OK</v>
      </c>
      <c r="I4" s="14">
        <f>VLOOKUP(TBESTOQUE[[#This Row],[Produto]],TBPRODUTOS[],5,0)*TBESTOQUE[[#This Row],[Saídas]]</f>
        <v>15010.38</v>
      </c>
      <c r="J4" s="14">
        <f>VLOOKUP(TBESTOQUE[[#This Row],[Produto]],TBPRODUTOS[],3,0)*TBESTOQUE[[#This Row],[Saídas]]</f>
        <v>11371.5</v>
      </c>
      <c r="K4" s="38">
        <f>TBESTOQUE[[#This Row],[Venda Total]]-TBESTOQUE[[#This Row],[Custo Total]]</f>
        <v>3638.8799999999992</v>
      </c>
      <c r="L4" s="39">
        <f>IFERROR(TBESTOQUE[[#This Row],[Lucro Total (R$)]]/TBESTOQUE[[#This Row],[Custo Total]],"")</f>
        <v>0.31999999999999995</v>
      </c>
      <c r="M4" s="14">
        <f>VLOOKUP(TBESTOQUE[[#This Row],[Produto]],TBPRODUTOS[],3,0)*TBESTOQUE[[#This Row],[ESTOQUE]]</f>
        <v>7980</v>
      </c>
    </row>
    <row r="5" spans="1:28" x14ac:dyDescent="0.3">
      <c r="B5" s="5" t="s">
        <v>8</v>
      </c>
      <c r="C5" s="53">
        <f>SUMIF(TBENTRADA[PRODUTO],TBESTOQUE[[#This Row],[Produto]],TBENTRADA[ENTRADAS])</f>
        <v>500</v>
      </c>
      <c r="D5" s="53">
        <f>SUMIF(TBSAIDA[PRODUTO],TBESTOQUE[[#This Row],[Produto]],TBSAIDA[SAIDAS])</f>
        <v>0</v>
      </c>
      <c r="G5" s="68">
        <f>(TBESTOQUE[[#This Row],[Entradas]]-TBESTOQUE[[#This Row],[Saídas]])+TBESTOQUE[[#This Row],[Mais(+)]]-TBESTOQUE[[#This Row],[Menos(-)]]</f>
        <v>500</v>
      </c>
      <c r="H5" s="5" t="str">
        <f>IF(TBESTOQUE[[#This Row],[ESTOQUE]]&lt;CADPRODUTOS!H11,"COMPRAR",IF(TBESTOQUE[[#This Row],[ESTOQUE]]&gt;CADPRODUTOS!I11,"ESTOQUE ALTO","ESTOQUE OK"))</f>
        <v>ESTOQUE ALTO</v>
      </c>
      <c r="I5" s="14">
        <f>VLOOKUP(TBESTOQUE[[#This Row],[Produto]],TBPRODUTOS[],5,0)*TBESTOQUE[[#This Row],[Saídas]]</f>
        <v>0</v>
      </c>
      <c r="J5" s="14">
        <f>VLOOKUP(TBESTOQUE[[#This Row],[Produto]],TBPRODUTOS[],3,0)*TBESTOQUE[[#This Row],[Saídas]]</f>
        <v>0</v>
      </c>
      <c r="K5" s="38">
        <f>TBESTOQUE[[#This Row],[Venda Total]]-TBESTOQUE[[#This Row],[Custo Total]]</f>
        <v>0</v>
      </c>
      <c r="L5" s="39" t="str">
        <f>IFERROR(TBESTOQUE[[#This Row],[Lucro Total (R$)]]/TBESTOQUE[[#This Row],[Custo Total]],"")</f>
        <v/>
      </c>
      <c r="M5" s="14">
        <f>VLOOKUP(TBESTOQUE[[#This Row],[Produto]],TBPRODUTOS[],3,0)*TBESTOQUE[[#This Row],[ESTOQUE]]</f>
        <v>225200</v>
      </c>
    </row>
    <row r="6" spans="1:28" x14ac:dyDescent="0.3">
      <c r="B6" s="5" t="s">
        <v>9</v>
      </c>
      <c r="C6" s="53">
        <f>SUMIF(TBENTRADA[PRODUTO],TBESTOQUE[[#This Row],[Produto]],TBENTRADA[ENTRADAS])</f>
        <v>500</v>
      </c>
      <c r="D6" s="53">
        <f>SUMIF(TBSAIDA[PRODUTO],TBESTOQUE[[#This Row],[Produto]],TBSAIDA[SAIDAS])</f>
        <v>0</v>
      </c>
      <c r="G6" s="68">
        <f>(TBESTOQUE[[#This Row],[Entradas]]-TBESTOQUE[[#This Row],[Saídas]])+TBESTOQUE[[#This Row],[Mais(+)]]-TBESTOQUE[[#This Row],[Menos(-)]]</f>
        <v>500</v>
      </c>
      <c r="H6" s="5" t="str">
        <f>IF(TBESTOQUE[[#This Row],[ESTOQUE]]&lt;CADPRODUTOS!H12,"COMPRAR",IF(TBESTOQUE[[#This Row],[ESTOQUE]]&gt;CADPRODUTOS!I12,"ESTOQUE ALTO","ESTOQUE OK"))</f>
        <v>ESTOQUE ALTO</v>
      </c>
      <c r="I6" s="14">
        <f>VLOOKUP(TBESTOQUE[[#This Row],[Produto]],TBPRODUTOS[],5,0)*TBESTOQUE[[#This Row],[Saídas]]</f>
        <v>0</v>
      </c>
      <c r="J6" s="14">
        <f>VLOOKUP(TBESTOQUE[[#This Row],[Produto]],TBPRODUTOS[],3,0)*TBESTOQUE[[#This Row],[Saídas]]</f>
        <v>0</v>
      </c>
      <c r="K6" s="38">
        <f>TBESTOQUE[[#This Row],[Venda Total]]-TBESTOQUE[[#This Row],[Custo Total]]</f>
        <v>0</v>
      </c>
      <c r="L6" s="39" t="str">
        <f>IFERROR(TBESTOQUE[[#This Row],[Lucro Total (R$)]]/TBESTOQUE[[#This Row],[Custo Total]],"")</f>
        <v/>
      </c>
      <c r="M6" s="14">
        <f>VLOOKUP(TBESTOQUE[[#This Row],[Produto]],TBPRODUTOS[],3,0)*TBESTOQUE[[#This Row],[ESTOQUE]]</f>
        <v>99250</v>
      </c>
    </row>
    <row r="7" spans="1:28" x14ac:dyDescent="0.3">
      <c r="B7" s="5" t="s">
        <v>10</v>
      </c>
      <c r="C7" s="53">
        <f>SUMIF(TBENTRADA[PRODUTO],TBESTOQUE[[#This Row],[Produto]],TBENTRADA[ENTRADAS])</f>
        <v>500</v>
      </c>
      <c r="D7" s="53">
        <f>SUMIF(TBSAIDA[PRODUTO],TBESTOQUE[[#This Row],[Produto]],TBSAIDA[SAIDAS])</f>
        <v>0</v>
      </c>
      <c r="G7" s="68">
        <f>(TBESTOQUE[[#This Row],[Entradas]]-TBESTOQUE[[#This Row],[Saídas]])+TBESTOQUE[[#This Row],[Mais(+)]]-TBESTOQUE[[#This Row],[Menos(-)]]</f>
        <v>500</v>
      </c>
      <c r="H7" s="5" t="str">
        <f>IF(TBESTOQUE[[#This Row],[ESTOQUE]]&lt;CADPRODUTOS!H13,"COMPRAR",IF(TBESTOQUE[[#This Row],[ESTOQUE]]&gt;CADPRODUTOS!I13,"ESTOQUE ALTO","ESTOQUE OK"))</f>
        <v>ESTOQUE ALTO</v>
      </c>
      <c r="I7" s="14">
        <f>VLOOKUP(TBESTOQUE[[#This Row],[Produto]],TBPRODUTOS[],5,0)*TBESTOQUE[[#This Row],[Saídas]]</f>
        <v>0</v>
      </c>
      <c r="J7" s="14">
        <f>VLOOKUP(TBESTOQUE[[#This Row],[Produto]],TBPRODUTOS[],3,0)*TBESTOQUE[[#This Row],[Saídas]]</f>
        <v>0</v>
      </c>
      <c r="K7" s="38">
        <f>TBESTOQUE[[#This Row],[Venda Total]]-TBESTOQUE[[#This Row],[Custo Total]]</f>
        <v>0</v>
      </c>
      <c r="L7" s="39" t="str">
        <f>IFERROR(TBESTOQUE[[#This Row],[Lucro Total (R$)]]/TBESTOQUE[[#This Row],[Custo Total]],"")</f>
        <v/>
      </c>
      <c r="M7" s="14">
        <f>VLOOKUP(TBESTOQUE[[#This Row],[Produto]],TBPRODUTOS[],3,0)*TBESTOQUE[[#This Row],[ESTOQUE]]</f>
        <v>148950</v>
      </c>
    </row>
    <row r="8" spans="1:28" x14ac:dyDescent="0.3">
      <c r="B8" s="5" t="s">
        <v>11</v>
      </c>
      <c r="C8" s="53">
        <f>SUMIF(TBENTRADA[PRODUTO],TBESTOQUE[[#This Row],[Produto]],TBENTRADA[ENTRADAS])</f>
        <v>500</v>
      </c>
      <c r="D8" s="53">
        <f>SUMIF(TBSAIDA[PRODUTO],TBESTOQUE[[#This Row],[Produto]],TBSAIDA[SAIDAS])</f>
        <v>50</v>
      </c>
      <c r="G8" s="68">
        <f>(TBESTOQUE[[#This Row],[Entradas]]-TBESTOQUE[[#This Row],[Saídas]])+TBESTOQUE[[#This Row],[Mais(+)]]-TBESTOQUE[[#This Row],[Menos(-)]]</f>
        <v>450</v>
      </c>
      <c r="H8" s="5" t="str">
        <f>IF(TBESTOQUE[[#This Row],[ESTOQUE]]&lt;CADPRODUTOS!H14,"COMPRAR",IF(TBESTOQUE[[#This Row],[ESTOQUE]]&gt;CADPRODUTOS!I14,"ESTOQUE ALTO","ESTOQUE OK"))</f>
        <v>ESTOQUE ALTO</v>
      </c>
      <c r="I8" s="14">
        <f>VLOOKUP(TBESTOQUE[[#This Row],[Produto]],TBPRODUTOS[],5,0)*TBESTOQUE[[#This Row],[Saídas]]</f>
        <v>10023.750000000002</v>
      </c>
      <c r="J8" s="14">
        <f>VLOOKUP(TBESTOQUE[[#This Row],[Produto]],TBPRODUTOS[],3,0)*TBESTOQUE[[#This Row],[Saídas]]</f>
        <v>7425</v>
      </c>
      <c r="K8" s="38">
        <f>TBESTOQUE[[#This Row],[Venda Total]]-TBESTOQUE[[#This Row],[Custo Total]]</f>
        <v>2598.7500000000018</v>
      </c>
      <c r="L8" s="39">
        <f>IFERROR(TBESTOQUE[[#This Row],[Lucro Total (R$)]]/TBESTOQUE[[#This Row],[Custo Total]],"")</f>
        <v>0.35000000000000026</v>
      </c>
      <c r="M8" s="14">
        <f>VLOOKUP(TBESTOQUE[[#This Row],[Produto]],TBPRODUTOS[],3,0)*TBESTOQUE[[#This Row],[ESTOQUE]]</f>
        <v>66825</v>
      </c>
    </row>
    <row r="9" spans="1:28" x14ac:dyDescent="0.3">
      <c r="B9" s="5" t="s">
        <v>12</v>
      </c>
      <c r="C9" s="53">
        <f>SUMIF(TBENTRADA[PRODUTO],TBESTOQUE[[#This Row],[Produto]],TBENTRADA[ENTRADAS])</f>
        <v>700</v>
      </c>
      <c r="D9" s="53">
        <f>SUMIF(TBSAIDA[PRODUTO],TBESTOQUE[[#This Row],[Produto]],TBSAIDA[SAIDAS])</f>
        <v>10</v>
      </c>
      <c r="G9" s="68">
        <f>(TBESTOQUE[[#This Row],[Entradas]]-TBESTOQUE[[#This Row],[Saídas]])+TBESTOQUE[[#This Row],[Mais(+)]]-TBESTOQUE[[#This Row],[Menos(-)]]</f>
        <v>690</v>
      </c>
      <c r="H9" s="5" t="str">
        <f>IF(TBESTOQUE[[#This Row],[ESTOQUE]]&lt;CADPRODUTOS!H15,"COMPRAR",IF(TBESTOQUE[[#This Row],[ESTOQUE]]&gt;CADPRODUTOS!I15,"ESTOQUE ALTO","ESTOQUE OK"))</f>
        <v>ESTOQUE ALTO</v>
      </c>
      <c r="I9" s="14">
        <f>VLOOKUP(TBESTOQUE[[#This Row],[Produto]],TBPRODUTOS[],5,0)*TBESTOQUE[[#This Row],[Saídas]]</f>
        <v>1350</v>
      </c>
      <c r="J9" s="14">
        <f>VLOOKUP(TBESTOQUE[[#This Row],[Produto]],TBPRODUTOS[],3,0)*TBESTOQUE[[#This Row],[Saídas]]</f>
        <v>1000</v>
      </c>
      <c r="K9" s="38">
        <f>TBESTOQUE[[#This Row],[Venda Total]]-TBESTOQUE[[#This Row],[Custo Total]]</f>
        <v>350</v>
      </c>
      <c r="L9" s="39">
        <f>IFERROR(TBESTOQUE[[#This Row],[Lucro Total (R$)]]/TBESTOQUE[[#This Row],[Custo Total]],"")</f>
        <v>0.35</v>
      </c>
      <c r="M9" s="14">
        <f>VLOOKUP(TBESTOQUE[[#This Row],[Produto]],TBPRODUTOS[],3,0)*TBESTOQUE[[#This Row],[ESTOQUE]]</f>
        <v>69000</v>
      </c>
    </row>
    <row r="10" spans="1:28" x14ac:dyDescent="0.3">
      <c r="B10" s="40" t="s">
        <v>49</v>
      </c>
      <c r="C10" s="53">
        <f>SUMIF(TBENTRADA[PRODUTO],TBESTOQUE[[#This Row],[Produto]],TBENTRADA[ENTRADAS])</f>
        <v>509</v>
      </c>
      <c r="D10" s="53">
        <f>SUMIF(TBSAIDA[PRODUTO],TBESTOQUE[[#This Row],[Produto]],TBSAIDA[SAIDAS])</f>
        <v>19</v>
      </c>
      <c r="G10" s="68">
        <f>(TBESTOQUE[[#This Row],[Entradas]]-TBESTOQUE[[#This Row],[Saídas]])+TBESTOQUE[[#This Row],[Mais(+)]]-TBESTOQUE[[#This Row],[Menos(-)]]</f>
        <v>490</v>
      </c>
      <c r="H10" s="5" t="str">
        <f>IF(TBESTOQUE[[#This Row],[ESTOQUE]]&lt;CADPRODUTOS!H16,"COMPRAR",IF(TBESTOQUE[[#This Row],[ESTOQUE]]&gt;CADPRODUTOS!I16,"ESTOQUE ALTO","ESTOQUE OK"))</f>
        <v>ESTOQUE ALTO</v>
      </c>
      <c r="I10" s="14">
        <f>VLOOKUP(TBESTOQUE[[#This Row],[Produto]],TBPRODUTOS[],5,0)*TBESTOQUE[[#This Row],[Saídas]]</f>
        <v>235.98</v>
      </c>
      <c r="J10" s="14">
        <f>VLOOKUP(TBESTOQUE[[#This Row],[Produto]],TBPRODUTOS[],3,0)*TBESTOQUE[[#This Row],[Saídas]]</f>
        <v>171</v>
      </c>
      <c r="K10" s="38">
        <f>TBESTOQUE[[#This Row],[Venda Total]]-TBESTOQUE[[#This Row],[Custo Total]]</f>
        <v>64.97999999999999</v>
      </c>
      <c r="L10" s="39">
        <f>IFERROR(TBESTOQUE[[#This Row],[Lucro Total (R$)]]/TBESTOQUE[[#This Row],[Custo Total]],"")</f>
        <v>0.37999999999999995</v>
      </c>
      <c r="M10" s="14">
        <f>VLOOKUP(TBESTOQUE[[#This Row],[Produto]],TBPRODUTOS[],3,0)*TBESTOQUE[[#This Row],[ESTOQUE]]</f>
        <v>4410</v>
      </c>
    </row>
    <row r="11" spans="1:28" x14ac:dyDescent="0.3">
      <c r="B11" s="40" t="s">
        <v>55</v>
      </c>
      <c r="C11" s="53">
        <f>SUMIF(TBENTRADA[PRODUTO],TBESTOQUE[[#This Row],[Produto]],TBENTRADA[ENTRADAS])</f>
        <v>500</v>
      </c>
      <c r="D11" s="53">
        <f>SUMIF(TBSAIDA[PRODUTO],TBESTOQUE[[#This Row],[Produto]],TBSAIDA[SAIDAS])</f>
        <v>491</v>
      </c>
      <c r="G11" s="68">
        <f>(TBESTOQUE[[#This Row],[Entradas]]-TBESTOQUE[[#This Row],[Saídas]])+TBESTOQUE[[#This Row],[Mais(+)]]-TBESTOQUE[[#This Row],[Menos(-)]]</f>
        <v>9</v>
      </c>
      <c r="H11" s="5" t="str">
        <f>IF(TBESTOQUE[[#This Row],[ESTOQUE]]&lt;CADPRODUTOS!H17,"COMPRAR",IF(TBESTOQUE[[#This Row],[ESTOQUE]]&gt;CADPRODUTOS!I17,"ESTOQUE ALTO","ESTOQUE OK"))</f>
        <v>COMPRAR</v>
      </c>
      <c r="I11" s="41">
        <f>VLOOKUP(TBESTOQUE[[#This Row],[Produto]],TBPRODUTOS[],5,0)*TBESTOQUE[[#This Row],[Saídas]]</f>
        <v>5499.2000000000007</v>
      </c>
      <c r="J11" s="41">
        <f>VLOOKUP(TBESTOQUE[[#This Row],[Produto]],TBPRODUTOS[],3,0)*TBESTOQUE[[#This Row],[Saídas]]</f>
        <v>3928</v>
      </c>
      <c r="K11" s="38">
        <f>TBESTOQUE[[#This Row],[Venda Total]]-TBESTOQUE[[#This Row],[Custo Total]]</f>
        <v>1571.2000000000007</v>
      </c>
      <c r="L11" s="42">
        <f>IFERROR(TBESTOQUE[[#This Row],[Lucro Total (R$)]]/TBESTOQUE[[#This Row],[Custo Total]],"")</f>
        <v>0.40000000000000019</v>
      </c>
      <c r="M11" s="14">
        <f>VLOOKUP(TBESTOQUE[[#This Row],[Produto]],TBPRODUTOS[],3,0)*TBESTOQUE[[#This Row],[ESTOQUE]]</f>
        <v>72</v>
      </c>
    </row>
    <row r="12" spans="1:28" x14ac:dyDescent="0.3">
      <c r="B12" s="40" t="s">
        <v>72</v>
      </c>
      <c r="C12" s="53">
        <f>SUMIF(TBENTRADA[PRODUTO],TBESTOQUE[[#This Row],[Produto]],TBENTRADA[ENTRADAS])</f>
        <v>0</v>
      </c>
      <c r="D12" s="53">
        <f>SUMIF(TBSAIDA[PRODUTO],TBESTOQUE[[#This Row],[Produto]],TBSAIDA[SAIDAS])</f>
        <v>0</v>
      </c>
      <c r="G12" s="68">
        <f>(TBESTOQUE[[#This Row],[Entradas]]-TBESTOQUE[[#This Row],[Saídas]])+TBESTOQUE[[#This Row],[Mais(+)]]-TBESTOQUE[[#This Row],[Menos(-)]]</f>
        <v>0</v>
      </c>
      <c r="H12" s="5" t="str">
        <f>IF(TBESTOQUE[[#This Row],[ESTOQUE]]&lt;CADPRODUTOS!H18,"COMPRAR",IF(TBESTOQUE[[#This Row],[ESTOQUE]]&gt;CADPRODUTOS!I18,"ESTOQUE ALTO","ESTOQUE OK"))</f>
        <v>COMPRAR</v>
      </c>
      <c r="I12" s="41">
        <f>VLOOKUP(TBESTOQUE[[#This Row],[Produto]],TBPRODUTOS[],5,0)*TBESTOQUE[[#This Row],[Saídas]]</f>
        <v>0</v>
      </c>
      <c r="J12" s="41">
        <f>VLOOKUP(TBESTOQUE[[#This Row],[Produto]],TBPRODUTOS[],3,0)*TBESTOQUE[[#This Row],[Saídas]]</f>
        <v>0</v>
      </c>
      <c r="K12" s="38">
        <f>TBESTOQUE[[#This Row],[Venda Total]]-TBESTOQUE[[#This Row],[Custo Total]]</f>
        <v>0</v>
      </c>
      <c r="L12" s="42" t="str">
        <f>IFERROR(TBESTOQUE[[#This Row],[Lucro Total (R$)]]/TBESTOQUE[[#This Row],[Custo Total]],"")</f>
        <v/>
      </c>
      <c r="M12" s="14">
        <f>VLOOKUP(TBESTOQUE[[#This Row],[Produto]],TBPRODUTOS[],3,0)*TBESTOQUE[[#This Row],[ESTOQUE]]</f>
        <v>0</v>
      </c>
    </row>
    <row r="13" spans="1:28" x14ac:dyDescent="0.3">
      <c r="B13" s="40" t="s">
        <v>84</v>
      </c>
      <c r="C13" s="53">
        <f>SUMIF(TBENTRADA[PRODUTO],TBESTOQUE[[#This Row],[Produto]],TBENTRADA[ENTRADAS])</f>
        <v>10</v>
      </c>
      <c r="D13" s="53">
        <f>SUMIF(TBSAIDA[PRODUTO],TBESTOQUE[[#This Row],[Produto]],TBSAIDA[SAIDAS])</f>
        <v>5</v>
      </c>
      <c r="G13" s="68">
        <f>(TBESTOQUE[[#This Row],[Entradas]]-TBESTOQUE[[#This Row],[Saídas]])+TBESTOQUE[[#This Row],[Mais(+)]]-TBESTOQUE[[#This Row],[Menos(-)]]</f>
        <v>5</v>
      </c>
      <c r="H13" s="5" t="str">
        <f>IF(TBESTOQUE[[#This Row],[ESTOQUE]]&lt;CADPRODUTOS!H19,"COMPRAR",IF(TBESTOQUE[[#This Row],[ESTOQUE]]&gt;CADPRODUTOS!I19,"ESTOQUE ALTO","ESTOQUE OK"))</f>
        <v>COMPRAR</v>
      </c>
      <c r="I13" s="41">
        <f>VLOOKUP(TBESTOQUE[[#This Row],[Produto]],TBPRODUTOS[],5,0)*TBESTOQUE[[#This Row],[Saídas]]</f>
        <v>337.5</v>
      </c>
      <c r="J13" s="41">
        <f>VLOOKUP(TBESTOQUE[[#This Row],[Produto]],TBPRODUTOS[],3,0)*TBESTOQUE[[#This Row],[Saídas]]</f>
        <v>250</v>
      </c>
      <c r="K13" s="38">
        <f>TBESTOQUE[[#This Row],[Venda Total]]-TBESTOQUE[[#This Row],[Custo Total]]</f>
        <v>87.5</v>
      </c>
      <c r="L13" s="42">
        <f>IFERROR(TBESTOQUE[[#This Row],[Lucro Total (R$)]]/TBESTOQUE[[#This Row],[Custo Total]],"")</f>
        <v>0.35</v>
      </c>
      <c r="M13" s="14">
        <f>VLOOKUP(TBESTOQUE[[#This Row],[Produto]],TBPRODUTOS[],3,0)*TBESTOQUE[[#This Row],[ESTOQUE]]</f>
        <v>250</v>
      </c>
    </row>
  </sheetData>
  <conditionalFormatting sqref="H4:H13">
    <cfRule type="containsText" dxfId="61" priority="1" operator="containsText" text="ESTOQUE OK">
      <formula>NOT(ISERROR(SEARCH("ESTOQUE OK",H4)))</formula>
    </cfRule>
    <cfRule type="containsText" dxfId="60" priority="2" operator="containsText" text="COMPRAR">
      <formula>NOT(ISERROR(SEARCH("COMPRAR",H4)))</formula>
    </cfRule>
    <cfRule type="containsText" dxfId="59" priority="3" operator="containsText" text="ESTOQUE ALTO">
      <formula>NOT(ISERROR(SEARCH("ESTOQUE ALTO",H4)))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93850-77FD-4252-ABE4-3CC2DF2FED87}">
  <dimension ref="A1:Z40"/>
  <sheetViews>
    <sheetView showGridLines="0" workbookViewId="0">
      <selection activeCell="C5" sqref="C5"/>
    </sheetView>
  </sheetViews>
  <sheetFormatPr defaultRowHeight="15" x14ac:dyDescent="0.25"/>
  <cols>
    <col min="2" max="2" width="12.7109375" style="77" bestFit="1" customWidth="1"/>
    <col min="3" max="3" width="24.85546875" customWidth="1"/>
    <col min="4" max="5" width="16.28515625" customWidth="1"/>
    <col min="6" max="6" width="33" customWidth="1"/>
    <col min="7" max="7" width="22.42578125" customWidth="1"/>
    <col min="8" max="8" width="17.28515625" customWidth="1"/>
  </cols>
  <sheetData>
    <row r="1" spans="1:26" ht="24.95" customHeight="1" x14ac:dyDescent="0.45">
      <c r="A1" s="3"/>
      <c r="B1" s="2" t="s">
        <v>108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6.5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</row>
    <row r="4" spans="1:26" ht="16.5" x14ac:dyDescent="0.3">
      <c r="C4" s="80" t="s">
        <v>107</v>
      </c>
      <c r="D4" s="80" t="s">
        <v>104</v>
      </c>
      <c r="E4" s="80" t="s">
        <v>105</v>
      </c>
      <c r="F4" s="80" t="s">
        <v>86</v>
      </c>
      <c r="G4" s="80" t="s">
        <v>87</v>
      </c>
    </row>
    <row r="5" spans="1:26" x14ac:dyDescent="0.25">
      <c r="C5" s="78"/>
      <c r="D5" s="79">
        <v>44389</v>
      </c>
      <c r="E5" s="79">
        <v>44389</v>
      </c>
      <c r="F5" s="78"/>
      <c r="G5" s="78"/>
    </row>
    <row r="7" spans="1:26" x14ac:dyDescent="0.25">
      <c r="D7" s="82">
        <f>SUM(D9:D100)</f>
        <v>860</v>
      </c>
    </row>
    <row r="8" spans="1:26" ht="16.5" x14ac:dyDescent="0.3">
      <c r="B8" s="73" t="s">
        <v>34</v>
      </c>
      <c r="C8" s="74" t="s">
        <v>0</v>
      </c>
      <c r="D8" s="75" t="s">
        <v>5</v>
      </c>
      <c r="E8" s="74" t="s">
        <v>85</v>
      </c>
      <c r="F8" s="74" t="s">
        <v>106</v>
      </c>
      <c r="G8" s="74" t="s">
        <v>87</v>
      </c>
      <c r="H8" s="76" t="s">
        <v>22</v>
      </c>
    </row>
    <row r="9" spans="1:26" x14ac:dyDescent="0.25">
      <c r="B9" s="77" cm="1">
        <f t="array" ref="B9:H20">IFERROR(IF(C5="",TBSAIDA[],IF(F5="",_xlfn._xlws.FILTER(TBSAIDA[],(TBSAIDA[DATA]&gt;=D5)*(TBSAIDA[DATA]&lt;=E5)*(TBSAIDA[PRODUTO]=C5)),_xlfn._xlws.FILTER(TBSAIDA[],(TBSAIDA[DATA]&gt;=D5)*(TBSAIDA[DATA]&lt;=E5)*(TBSAIDA[PRODUTO]=C5)*(TBSAIDA[CLIENTE]=F5)*(TBSAIDA[VENDEDOR]=G5)))),"Não encontrado")</f>
        <v>44386</v>
      </c>
      <c r="C9" t="str">
        <v>Boné Giga</v>
      </c>
      <c r="D9" s="81">
        <v>10</v>
      </c>
      <c r="E9" t="str">
        <v>jul</v>
      </c>
      <c r="F9" t="str">
        <v>RAIMUNDO DA SILVA OLIVEIRA</v>
      </c>
      <c r="G9" t="str">
        <v>JOAQUIM  LEMOS</v>
      </c>
      <c r="H9">
        <v>372</v>
      </c>
    </row>
    <row r="10" spans="1:26" x14ac:dyDescent="0.25">
      <c r="B10" s="77">
        <v>44386</v>
      </c>
      <c r="C10" t="str">
        <v>Boné Giga</v>
      </c>
      <c r="D10" s="81">
        <v>90</v>
      </c>
      <c r="E10" t="str">
        <v>jul</v>
      </c>
      <c r="F10" t="str">
        <v>RAIMUNDO DA SILVA OLIVEIRA</v>
      </c>
      <c r="G10" t="str">
        <v>JOAQUIM  LEMOS</v>
      </c>
      <c r="H10">
        <v>372</v>
      </c>
    </row>
    <row r="11" spans="1:26" x14ac:dyDescent="0.25">
      <c r="B11" s="77">
        <v>44386</v>
      </c>
      <c r="C11" t="str">
        <v>Boné Giga</v>
      </c>
      <c r="D11" s="81">
        <v>10</v>
      </c>
      <c r="E11" t="str">
        <v>jul</v>
      </c>
      <c r="F11" t="str">
        <v>RAIMUNDO DA SILVA OLIVEIRA</v>
      </c>
      <c r="G11" t="str">
        <v>KLEBER VIEIRA</v>
      </c>
      <c r="H11">
        <v>372</v>
      </c>
    </row>
    <row r="12" spans="1:26" x14ac:dyDescent="0.25">
      <c r="B12" s="77">
        <v>44386</v>
      </c>
      <c r="C12" t="str">
        <v>Agua Sanitária Dragão</v>
      </c>
      <c r="D12" s="81">
        <v>9</v>
      </c>
      <c r="E12" t="str">
        <v>jul</v>
      </c>
      <c r="F12" t="str">
        <v>RAIMUNDO DA SILVA OLIVEIRA</v>
      </c>
      <c r="G12" t="str">
        <v>KLEBER VIEIRA</v>
      </c>
      <c r="H12">
        <v>372</v>
      </c>
    </row>
    <row r="13" spans="1:26" x14ac:dyDescent="0.25">
      <c r="B13" s="77">
        <v>44386</v>
      </c>
      <c r="C13" t="str">
        <v>Boné Giga</v>
      </c>
      <c r="D13" s="81">
        <v>10</v>
      </c>
      <c r="E13" t="str">
        <v>jul</v>
      </c>
      <c r="F13" t="str">
        <v>FRANCISCO CLEBER VIERIA LOPES</v>
      </c>
      <c r="G13" t="str">
        <v>KLEBER VIEIRA</v>
      </c>
      <c r="H13">
        <v>372</v>
      </c>
    </row>
    <row r="14" spans="1:26" x14ac:dyDescent="0.25">
      <c r="B14" s="77">
        <v>44386</v>
      </c>
      <c r="C14" t="str">
        <v>Cachicol</v>
      </c>
      <c r="D14" s="81">
        <v>10</v>
      </c>
      <c r="E14" t="str">
        <v>jul</v>
      </c>
      <c r="F14" t="str">
        <v>FRANCISCO CLEBER VIERIA LOPES</v>
      </c>
      <c r="G14" t="str">
        <v>KLEBER VIEIRA</v>
      </c>
      <c r="H14">
        <v>372</v>
      </c>
    </row>
    <row r="15" spans="1:26" x14ac:dyDescent="0.25">
      <c r="B15" s="77">
        <v>44386</v>
      </c>
      <c r="C15" t="str">
        <v>Agua Sanitária Dragão</v>
      </c>
      <c r="D15" s="81">
        <v>10</v>
      </c>
      <c r="E15" t="str">
        <v>jul</v>
      </c>
      <c r="F15" t="str">
        <v>FRANCISCO CLEBER VIERIA LOPES</v>
      </c>
      <c r="G15" t="str">
        <v>KLEBER VIEIRA</v>
      </c>
      <c r="H15">
        <v>372</v>
      </c>
    </row>
    <row r="16" spans="1:26" x14ac:dyDescent="0.25">
      <c r="B16" s="77">
        <v>44386</v>
      </c>
      <c r="C16" t="str">
        <v xml:space="preserve">PRODUTO TESTE </v>
      </c>
      <c r="D16" s="81">
        <v>5</v>
      </c>
      <c r="E16" t="str">
        <v>jul</v>
      </c>
      <c r="F16" t="str">
        <v>FRANCISCO CLEBER VIERIA LOPES</v>
      </c>
      <c r="G16" t="str">
        <v>JOAQUIM  LEMOS</v>
      </c>
      <c r="H16">
        <v>386</v>
      </c>
    </row>
    <row r="17" spans="2:8" x14ac:dyDescent="0.25">
      <c r="B17" s="77">
        <v>44386</v>
      </c>
      <c r="C17" t="str">
        <v>Agua Sanitária Clorito</v>
      </c>
      <c r="D17" s="81">
        <v>490</v>
      </c>
      <c r="E17" t="str">
        <v>jul</v>
      </c>
      <c r="F17" t="str">
        <v>FRANCISCO CLEBER VIERIA LOPES</v>
      </c>
      <c r="G17" t="str">
        <v>JOAQUIM  LEMOS</v>
      </c>
      <c r="H17">
        <v>387</v>
      </c>
    </row>
    <row r="18" spans="2:8" x14ac:dyDescent="0.25">
      <c r="B18" s="77">
        <v>44386</v>
      </c>
      <c r="C18" t="str">
        <v>Agua Sanitária Clorito</v>
      </c>
      <c r="D18" s="81">
        <v>1</v>
      </c>
      <c r="E18" t="str">
        <v>jul</v>
      </c>
      <c r="F18" t="str">
        <v>FRANCISCO CLEBER VIERIA LOPES</v>
      </c>
      <c r="G18" t="str">
        <v>KLEBER VIEIRA</v>
      </c>
      <c r="H18">
        <v>388</v>
      </c>
    </row>
    <row r="19" spans="2:8" x14ac:dyDescent="0.25">
      <c r="B19" s="77">
        <v>44386</v>
      </c>
      <c r="C19" t="str">
        <v>Boné Giga</v>
      </c>
      <c r="D19" s="81">
        <v>165</v>
      </c>
      <c r="E19" t="str">
        <v>jul</v>
      </c>
      <c r="F19" t="str">
        <v>FRANCISCO CLEBER VIERIA LOPES</v>
      </c>
      <c r="G19" t="str">
        <v>KLEBER VIEIRA</v>
      </c>
      <c r="H19">
        <v>388</v>
      </c>
    </row>
    <row r="20" spans="2:8" x14ac:dyDescent="0.25">
      <c r="B20" s="77">
        <v>44389</v>
      </c>
      <c r="C20" t="str">
        <v>Bermuda Surf</v>
      </c>
      <c r="D20" s="81">
        <v>50</v>
      </c>
      <c r="E20" t="str">
        <v>jul</v>
      </c>
      <c r="F20" t="str">
        <v>FRANCISCO CLEBER VIERIA LOPES</v>
      </c>
      <c r="G20" t="str">
        <v>KLEBER VIEIRA</v>
      </c>
      <c r="H20">
        <v>389</v>
      </c>
    </row>
    <row r="21" spans="2:8" x14ac:dyDescent="0.25">
      <c r="D21" s="81"/>
    </row>
    <row r="22" spans="2:8" x14ac:dyDescent="0.25">
      <c r="D22" s="81"/>
    </row>
    <row r="23" spans="2:8" x14ac:dyDescent="0.25">
      <c r="D23" s="81"/>
    </row>
    <row r="24" spans="2:8" x14ac:dyDescent="0.25">
      <c r="D24" s="81"/>
    </row>
    <row r="25" spans="2:8" x14ac:dyDescent="0.25">
      <c r="D25" s="81"/>
    </row>
    <row r="26" spans="2:8" x14ac:dyDescent="0.25">
      <c r="D26" s="81"/>
    </row>
    <row r="27" spans="2:8" x14ac:dyDescent="0.25">
      <c r="D27" s="81"/>
    </row>
    <row r="28" spans="2:8" x14ac:dyDescent="0.25">
      <c r="D28" s="81"/>
    </row>
    <row r="29" spans="2:8" x14ac:dyDescent="0.25">
      <c r="D29" s="81"/>
    </row>
    <row r="30" spans="2:8" x14ac:dyDescent="0.25">
      <c r="D30" s="81"/>
    </row>
    <row r="31" spans="2:8" x14ac:dyDescent="0.25">
      <c r="D31" s="81"/>
    </row>
    <row r="32" spans="2:8" x14ac:dyDescent="0.25">
      <c r="D32" s="81"/>
    </row>
    <row r="33" spans="4:4" x14ac:dyDescent="0.25">
      <c r="D33" s="81"/>
    </row>
    <row r="34" spans="4:4" x14ac:dyDescent="0.25">
      <c r="D34" s="81"/>
    </row>
    <row r="35" spans="4:4" x14ac:dyDescent="0.25">
      <c r="D35" s="81"/>
    </row>
    <row r="36" spans="4:4" x14ac:dyDescent="0.25">
      <c r="D36" s="81"/>
    </row>
    <row r="37" spans="4:4" x14ac:dyDescent="0.25">
      <c r="D37" s="81"/>
    </row>
    <row r="38" spans="4:4" x14ac:dyDescent="0.25">
      <c r="D38" s="81"/>
    </row>
    <row r="39" spans="4:4" x14ac:dyDescent="0.25">
      <c r="D39" s="81"/>
    </row>
    <row r="40" spans="4:4" x14ac:dyDescent="0.25">
      <c r="D40" s="81"/>
    </row>
  </sheetData>
  <dataValidations count="3">
    <dataValidation type="list" allowBlank="1" showInputMessage="1" showErrorMessage="1" sqref="C5" xr:uid="{6BBCCAC3-ECE2-4B5A-A1DB-6C6F90982C20}">
      <formula1>PRODUTOS</formula1>
    </dataValidation>
    <dataValidation type="list" allowBlank="1" showInputMessage="1" showErrorMessage="1" sqref="H5 G5" xr:uid="{A680EEEF-E204-4DA5-839F-69CAD7867EED}">
      <formula1>VENDEDOR</formula1>
    </dataValidation>
    <dataValidation type="list" allowBlank="1" showInputMessage="1" showErrorMessage="1" sqref="F5" xr:uid="{99C97D4D-24EA-4478-86EB-1428F969F373}">
      <formula1>CLIENTE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769A-B784-4358-B9F0-2570EA883C8D}">
  <dimension ref="A1:Z186"/>
  <sheetViews>
    <sheetView showGridLines="0" workbookViewId="0">
      <selection activeCell="C5" sqref="C5"/>
    </sheetView>
  </sheetViews>
  <sheetFormatPr defaultRowHeight="15" x14ac:dyDescent="0.25"/>
  <cols>
    <col min="2" max="2" width="12.7109375" style="77" bestFit="1" customWidth="1"/>
    <col min="3" max="3" width="24.85546875" customWidth="1"/>
    <col min="4" max="5" width="16.28515625" customWidth="1"/>
    <col min="6" max="6" width="33" customWidth="1"/>
    <col min="7" max="7" width="22.42578125" customWidth="1"/>
  </cols>
  <sheetData>
    <row r="1" spans="1:26" ht="24.95" customHeight="1" x14ac:dyDescent="0.45">
      <c r="A1" s="2"/>
      <c r="B1" s="2" t="s">
        <v>109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</row>
    <row r="4" spans="1:26" ht="16.5" x14ac:dyDescent="0.3">
      <c r="C4" s="80" t="s">
        <v>107</v>
      </c>
      <c r="D4" s="80" t="s">
        <v>104</v>
      </c>
      <c r="E4" s="80" t="s">
        <v>105</v>
      </c>
      <c r="F4" s="80" t="s">
        <v>62</v>
      </c>
    </row>
    <row r="5" spans="1:26" x14ac:dyDescent="0.25">
      <c r="C5" s="78"/>
      <c r="D5" s="79">
        <v>44378</v>
      </c>
      <c r="E5" s="79">
        <v>44389</v>
      </c>
      <c r="F5" s="78" t="s">
        <v>59</v>
      </c>
    </row>
    <row r="8" spans="1:26" ht="16.5" x14ac:dyDescent="0.3">
      <c r="B8" s="73" t="s">
        <v>34</v>
      </c>
      <c r="C8" s="74" t="s">
        <v>0</v>
      </c>
      <c r="D8" s="75" t="s">
        <v>16</v>
      </c>
      <c r="E8" s="74" t="s">
        <v>85</v>
      </c>
      <c r="F8" s="74" t="s">
        <v>62</v>
      </c>
      <c r="G8" s="74" t="s">
        <v>88</v>
      </c>
    </row>
    <row r="9" spans="1:26" x14ac:dyDescent="0.25">
      <c r="B9" s="77" cm="1">
        <f t="array" ref="B9:G20">IFERROR(IF(C5="",TBENTRADA[],IF(F5="",_xlfn._xlws.FILTER(TBENTRADA[],(TBENTRADA[DATA]&gt;=D5)*(TBENTRADA[DATA]&lt;=E5)*(TBENTRADA[PRODUTO]=C5)),_xlfn._xlws.FILTER(TBENTRADA[],(TBENTRADA[DATA]&gt;=D5)*(TBENTRADA[DATA]&lt;=E5)*(TBENTRADA[PRODUTO]=C5)*(TBENTRADA[FORNECEDOR]=F5)))),"NÃO ENCONTRADO")</f>
        <v>44386</v>
      </c>
      <c r="C9" t="str">
        <v xml:space="preserve">PRODUTO TESTE </v>
      </c>
      <c r="D9" s="82">
        <v>10</v>
      </c>
      <c r="E9" t="str">
        <v>jul</v>
      </c>
      <c r="F9" t="str">
        <v>FABRICA FORTALEZA</v>
      </c>
      <c r="G9" t="str">
        <v>NF 359531</v>
      </c>
    </row>
    <row r="10" spans="1:26" x14ac:dyDescent="0.25">
      <c r="B10" s="77">
        <v>44386</v>
      </c>
      <c r="C10" t="str">
        <v>Agua Sanitária Dragão</v>
      </c>
      <c r="D10" s="82">
        <v>9</v>
      </c>
      <c r="E10" t="str">
        <v>jul</v>
      </c>
      <c r="F10" t="str">
        <v>FABRICA FORTALEZA</v>
      </c>
      <c r="G10" t="str">
        <v>NF 359532</v>
      </c>
    </row>
    <row r="11" spans="1:26" x14ac:dyDescent="0.25">
      <c r="B11" s="77">
        <v>44386</v>
      </c>
      <c r="C11" t="str">
        <v>Boné Giga</v>
      </c>
      <c r="D11" s="82">
        <v>500</v>
      </c>
      <c r="E11" t="str">
        <v>jul</v>
      </c>
      <c r="F11" t="str">
        <v>FABRICA FORTALEZA</v>
      </c>
      <c r="G11" t="str">
        <v>NF 359533</v>
      </c>
    </row>
    <row r="12" spans="1:26" x14ac:dyDescent="0.25">
      <c r="B12" s="77">
        <v>44386</v>
      </c>
      <c r="C12" t="str">
        <v>Agua Sanitária Dragão</v>
      </c>
      <c r="D12" s="82">
        <v>500</v>
      </c>
      <c r="E12" t="str">
        <v>jul</v>
      </c>
      <c r="F12" t="str">
        <v>FABRICA FORTALEZA</v>
      </c>
      <c r="G12" t="str">
        <v>NF 359534</v>
      </c>
    </row>
    <row r="13" spans="1:26" x14ac:dyDescent="0.25">
      <c r="B13" s="77">
        <v>44386</v>
      </c>
      <c r="C13" t="str">
        <v>Calça Jeep</v>
      </c>
      <c r="D13" s="82">
        <v>500</v>
      </c>
      <c r="E13" t="str">
        <v>jul</v>
      </c>
      <c r="F13" t="str">
        <v>FABRICA FORTALEZA</v>
      </c>
      <c r="G13" t="str">
        <v>NF 359535</v>
      </c>
    </row>
    <row r="14" spans="1:26" x14ac:dyDescent="0.25">
      <c r="B14" s="77">
        <v>44386</v>
      </c>
      <c r="C14" t="str">
        <v>Casaco Pima</v>
      </c>
      <c r="D14" s="82">
        <v>500</v>
      </c>
      <c r="E14" t="str">
        <v>jul</v>
      </c>
      <c r="F14" t="str">
        <v>FABRICA FORTALEZA</v>
      </c>
      <c r="G14" t="str">
        <v>NF 359535</v>
      </c>
    </row>
    <row r="15" spans="1:26" x14ac:dyDescent="0.25">
      <c r="B15" s="77">
        <v>44386</v>
      </c>
      <c r="C15" t="str">
        <v>Bermuda Surf</v>
      </c>
      <c r="D15" s="82">
        <v>500</v>
      </c>
      <c r="E15" t="str">
        <v>jul</v>
      </c>
      <c r="F15" t="str">
        <v>COMERCIAL DE ALIMENTOS</v>
      </c>
      <c r="G15" t="str">
        <v>NF 359536</v>
      </c>
    </row>
    <row r="16" spans="1:26" x14ac:dyDescent="0.25">
      <c r="B16" s="77">
        <v>44386</v>
      </c>
      <c r="C16" t="str">
        <v>Cachicol</v>
      </c>
      <c r="D16" s="82">
        <v>500</v>
      </c>
      <c r="E16" t="str">
        <v>jul</v>
      </c>
      <c r="F16" t="str">
        <v>FABRICA FORTALEZA</v>
      </c>
      <c r="G16" t="str">
        <v>NF 359537</v>
      </c>
    </row>
    <row r="17" spans="2:7" x14ac:dyDescent="0.25">
      <c r="B17" s="77">
        <v>44386</v>
      </c>
      <c r="C17" t="str">
        <v>Cachicol</v>
      </c>
      <c r="D17" s="82">
        <v>100</v>
      </c>
      <c r="E17" t="str">
        <v>jul</v>
      </c>
      <c r="F17" t="str">
        <v>COMERCIAL DE ALIMENTOS</v>
      </c>
      <c r="G17" t="str">
        <v>NF 359538</v>
      </c>
    </row>
    <row r="18" spans="2:7" x14ac:dyDescent="0.25">
      <c r="B18" s="77">
        <v>44386</v>
      </c>
      <c r="C18" t="str">
        <v>Cachicol</v>
      </c>
      <c r="D18" s="82">
        <v>100</v>
      </c>
      <c r="E18" t="str">
        <v>jul</v>
      </c>
      <c r="F18" t="str">
        <v>COMERCIAL DE ALIMENTOS</v>
      </c>
      <c r="G18" t="str">
        <v>NF 359539</v>
      </c>
    </row>
    <row r="19" spans="2:7" x14ac:dyDescent="0.25">
      <c r="B19" s="77">
        <v>44386</v>
      </c>
      <c r="C19" t="str">
        <v>Agua Sanitária Clorito</v>
      </c>
      <c r="D19" s="82">
        <v>500</v>
      </c>
      <c r="E19" t="str">
        <v>jul</v>
      </c>
      <c r="F19" t="str">
        <v>FABRICA FORTALEZA</v>
      </c>
      <c r="G19" t="str">
        <v>NF 359540</v>
      </c>
    </row>
    <row r="20" spans="2:7" x14ac:dyDescent="0.25">
      <c r="B20" s="77">
        <v>44387</v>
      </c>
      <c r="C20" t="str">
        <v>Camisa T</v>
      </c>
      <c r="D20" s="82">
        <v>500</v>
      </c>
      <c r="E20" t="str">
        <v>jul</v>
      </c>
      <c r="F20" t="str">
        <v>COMERCIAL DE ALIMENTOS</v>
      </c>
      <c r="G20" t="str">
        <v>NF 355522</v>
      </c>
    </row>
    <row r="21" spans="2:7" x14ac:dyDescent="0.25">
      <c r="D21" s="82"/>
    </row>
    <row r="22" spans="2:7" x14ac:dyDescent="0.25">
      <c r="D22" s="82"/>
    </row>
    <row r="23" spans="2:7" x14ac:dyDescent="0.25">
      <c r="D23" s="82"/>
    </row>
    <row r="24" spans="2:7" x14ac:dyDescent="0.25">
      <c r="D24" s="82"/>
    </row>
    <row r="25" spans="2:7" x14ac:dyDescent="0.25">
      <c r="D25" s="82"/>
    </row>
    <row r="26" spans="2:7" x14ac:dyDescent="0.25">
      <c r="D26" s="82"/>
    </row>
    <row r="27" spans="2:7" x14ac:dyDescent="0.25">
      <c r="D27" s="82"/>
    </row>
    <row r="28" spans="2:7" x14ac:dyDescent="0.25">
      <c r="D28" s="82"/>
    </row>
    <row r="29" spans="2:7" x14ac:dyDescent="0.25">
      <c r="D29" s="82"/>
    </row>
    <row r="30" spans="2:7" x14ac:dyDescent="0.25">
      <c r="D30" s="82"/>
    </row>
    <row r="31" spans="2:7" x14ac:dyDescent="0.25">
      <c r="D31" s="82"/>
    </row>
    <row r="32" spans="2:7" x14ac:dyDescent="0.25">
      <c r="D32" s="82"/>
    </row>
    <row r="33" spans="4:4" x14ac:dyDescent="0.25">
      <c r="D33" s="82"/>
    </row>
    <row r="34" spans="4:4" x14ac:dyDescent="0.25">
      <c r="D34" s="82"/>
    </row>
    <row r="35" spans="4:4" x14ac:dyDescent="0.25">
      <c r="D35" s="82"/>
    </row>
    <row r="36" spans="4:4" x14ac:dyDescent="0.25">
      <c r="D36" s="82"/>
    </row>
    <row r="37" spans="4:4" x14ac:dyDescent="0.25">
      <c r="D37" s="82"/>
    </row>
    <row r="38" spans="4:4" x14ac:dyDescent="0.25">
      <c r="D38" s="82"/>
    </row>
    <row r="39" spans="4:4" x14ac:dyDescent="0.25">
      <c r="D39" s="82"/>
    </row>
    <row r="40" spans="4:4" x14ac:dyDescent="0.25">
      <c r="D40" s="82"/>
    </row>
    <row r="41" spans="4:4" x14ac:dyDescent="0.25">
      <c r="D41" s="82"/>
    </row>
    <row r="42" spans="4:4" x14ac:dyDescent="0.25">
      <c r="D42" s="82"/>
    </row>
    <row r="43" spans="4:4" x14ac:dyDescent="0.25">
      <c r="D43" s="82"/>
    </row>
    <row r="44" spans="4:4" x14ac:dyDescent="0.25">
      <c r="D44" s="82"/>
    </row>
    <row r="45" spans="4:4" x14ac:dyDescent="0.25">
      <c r="D45" s="82"/>
    </row>
    <row r="46" spans="4:4" x14ac:dyDescent="0.25">
      <c r="D46" s="82"/>
    </row>
    <row r="47" spans="4:4" x14ac:dyDescent="0.25">
      <c r="D47" s="82"/>
    </row>
    <row r="48" spans="4:4" x14ac:dyDescent="0.25">
      <c r="D48" s="82"/>
    </row>
    <row r="49" spans="4:4" x14ac:dyDescent="0.25">
      <c r="D49" s="82"/>
    </row>
    <row r="50" spans="4:4" x14ac:dyDescent="0.25">
      <c r="D50" s="82"/>
    </row>
    <row r="51" spans="4:4" x14ac:dyDescent="0.25">
      <c r="D51" s="82"/>
    </row>
    <row r="52" spans="4:4" x14ac:dyDescent="0.25">
      <c r="D52" s="82"/>
    </row>
    <row r="53" spans="4:4" x14ac:dyDescent="0.25">
      <c r="D53" s="82"/>
    </row>
    <row r="54" spans="4:4" x14ac:dyDescent="0.25">
      <c r="D54" s="82"/>
    </row>
    <row r="55" spans="4:4" x14ac:dyDescent="0.25">
      <c r="D55" s="82"/>
    </row>
    <row r="56" spans="4:4" x14ac:dyDescent="0.25">
      <c r="D56" s="82"/>
    </row>
    <row r="57" spans="4:4" x14ac:dyDescent="0.25">
      <c r="D57" s="82"/>
    </row>
    <row r="58" spans="4:4" x14ac:dyDescent="0.25">
      <c r="D58" s="82"/>
    </row>
    <row r="59" spans="4:4" x14ac:dyDescent="0.25">
      <c r="D59" s="82"/>
    </row>
    <row r="60" spans="4:4" x14ac:dyDescent="0.25">
      <c r="D60" s="82"/>
    </row>
    <row r="61" spans="4:4" x14ac:dyDescent="0.25">
      <c r="D61" s="82"/>
    </row>
    <row r="62" spans="4:4" x14ac:dyDescent="0.25">
      <c r="D62" s="82"/>
    </row>
    <row r="63" spans="4:4" x14ac:dyDescent="0.25">
      <c r="D63" s="82"/>
    </row>
    <row r="64" spans="4:4" x14ac:dyDescent="0.25">
      <c r="D64" s="82"/>
    </row>
    <row r="65" spans="4:4" x14ac:dyDescent="0.25">
      <c r="D65" s="82"/>
    </row>
    <row r="66" spans="4:4" x14ac:dyDescent="0.25">
      <c r="D66" s="82"/>
    </row>
    <row r="67" spans="4:4" x14ac:dyDescent="0.25">
      <c r="D67" s="82"/>
    </row>
    <row r="68" spans="4:4" x14ac:dyDescent="0.25">
      <c r="D68" s="82"/>
    </row>
    <row r="69" spans="4:4" x14ac:dyDescent="0.25">
      <c r="D69" s="82"/>
    </row>
    <row r="70" spans="4:4" x14ac:dyDescent="0.25">
      <c r="D70" s="82"/>
    </row>
    <row r="71" spans="4:4" x14ac:dyDescent="0.25">
      <c r="D71" s="82"/>
    </row>
    <row r="72" spans="4:4" x14ac:dyDescent="0.25">
      <c r="D72" s="82"/>
    </row>
    <row r="73" spans="4:4" x14ac:dyDescent="0.25">
      <c r="D73" s="82"/>
    </row>
    <row r="74" spans="4:4" x14ac:dyDescent="0.25">
      <c r="D74" s="82"/>
    </row>
    <row r="75" spans="4:4" x14ac:dyDescent="0.25">
      <c r="D75" s="82"/>
    </row>
    <row r="76" spans="4:4" x14ac:dyDescent="0.25">
      <c r="D76" s="82"/>
    </row>
    <row r="77" spans="4:4" x14ac:dyDescent="0.25">
      <c r="D77" s="82"/>
    </row>
    <row r="78" spans="4:4" x14ac:dyDescent="0.25">
      <c r="D78" s="82"/>
    </row>
    <row r="79" spans="4:4" x14ac:dyDescent="0.25">
      <c r="D79" s="82"/>
    </row>
    <row r="80" spans="4:4" x14ac:dyDescent="0.25">
      <c r="D80" s="82"/>
    </row>
    <row r="81" spans="4:4" x14ac:dyDescent="0.25">
      <c r="D81" s="82"/>
    </row>
    <row r="82" spans="4:4" x14ac:dyDescent="0.25">
      <c r="D82" s="82"/>
    </row>
    <row r="83" spans="4:4" x14ac:dyDescent="0.25">
      <c r="D83" s="82"/>
    </row>
    <row r="84" spans="4:4" x14ac:dyDescent="0.25">
      <c r="D84" s="82"/>
    </row>
    <row r="85" spans="4:4" x14ac:dyDescent="0.25">
      <c r="D85" s="82"/>
    </row>
    <row r="86" spans="4:4" x14ac:dyDescent="0.25">
      <c r="D86" s="82"/>
    </row>
    <row r="87" spans="4:4" x14ac:dyDescent="0.25">
      <c r="D87" s="82"/>
    </row>
    <row r="88" spans="4:4" x14ac:dyDescent="0.25">
      <c r="D88" s="82"/>
    </row>
    <row r="89" spans="4:4" x14ac:dyDescent="0.25">
      <c r="D89" s="82"/>
    </row>
    <row r="90" spans="4:4" x14ac:dyDescent="0.25">
      <c r="D90" s="82"/>
    </row>
    <row r="91" spans="4:4" x14ac:dyDescent="0.25">
      <c r="D91" s="82"/>
    </row>
    <row r="92" spans="4:4" x14ac:dyDescent="0.25">
      <c r="D92" s="82"/>
    </row>
    <row r="93" spans="4:4" x14ac:dyDescent="0.25">
      <c r="D93" s="82"/>
    </row>
    <row r="94" spans="4:4" x14ac:dyDescent="0.25">
      <c r="D94" s="82"/>
    </row>
    <row r="95" spans="4:4" x14ac:dyDescent="0.25">
      <c r="D95" s="82"/>
    </row>
    <row r="96" spans="4:4" x14ac:dyDescent="0.25">
      <c r="D96" s="82"/>
    </row>
    <row r="97" spans="4:4" x14ac:dyDescent="0.25">
      <c r="D97" s="82"/>
    </row>
    <row r="98" spans="4:4" x14ac:dyDescent="0.25">
      <c r="D98" s="82"/>
    </row>
    <row r="99" spans="4:4" x14ac:dyDescent="0.25">
      <c r="D99" s="82"/>
    </row>
    <row r="100" spans="4:4" x14ac:dyDescent="0.25">
      <c r="D100" s="82"/>
    </row>
    <row r="101" spans="4:4" x14ac:dyDescent="0.25">
      <c r="D101" s="82"/>
    </row>
    <row r="102" spans="4:4" x14ac:dyDescent="0.25">
      <c r="D102" s="82"/>
    </row>
    <row r="103" spans="4:4" x14ac:dyDescent="0.25">
      <c r="D103" s="82"/>
    </row>
    <row r="104" spans="4:4" x14ac:dyDescent="0.25">
      <c r="D104" s="82"/>
    </row>
    <row r="105" spans="4:4" x14ac:dyDescent="0.25">
      <c r="D105" s="82"/>
    </row>
    <row r="106" spans="4:4" x14ac:dyDescent="0.25">
      <c r="D106" s="82"/>
    </row>
    <row r="107" spans="4:4" x14ac:dyDescent="0.25">
      <c r="D107" s="82"/>
    </row>
    <row r="108" spans="4:4" x14ac:dyDescent="0.25">
      <c r="D108" s="82"/>
    </row>
    <row r="109" spans="4:4" x14ac:dyDescent="0.25">
      <c r="D109" s="82"/>
    </row>
    <row r="110" spans="4:4" x14ac:dyDescent="0.25">
      <c r="D110" s="82"/>
    </row>
    <row r="111" spans="4:4" x14ac:dyDescent="0.25">
      <c r="D111" s="82"/>
    </row>
    <row r="112" spans="4:4" x14ac:dyDescent="0.25">
      <c r="D112" s="82"/>
    </row>
    <row r="113" spans="4:4" x14ac:dyDescent="0.25">
      <c r="D113" s="82"/>
    </row>
    <row r="114" spans="4:4" x14ac:dyDescent="0.25">
      <c r="D114" s="82"/>
    </row>
    <row r="115" spans="4:4" x14ac:dyDescent="0.25">
      <c r="D115" s="82"/>
    </row>
    <row r="116" spans="4:4" x14ac:dyDescent="0.25">
      <c r="D116" s="82"/>
    </row>
    <row r="117" spans="4:4" x14ac:dyDescent="0.25">
      <c r="D117" s="82"/>
    </row>
    <row r="118" spans="4:4" x14ac:dyDescent="0.25">
      <c r="D118" s="82"/>
    </row>
    <row r="119" spans="4:4" x14ac:dyDescent="0.25">
      <c r="D119" s="82"/>
    </row>
    <row r="120" spans="4:4" x14ac:dyDescent="0.25">
      <c r="D120" s="82"/>
    </row>
    <row r="121" spans="4:4" x14ac:dyDescent="0.25">
      <c r="D121" s="82"/>
    </row>
    <row r="122" spans="4:4" x14ac:dyDescent="0.25">
      <c r="D122" s="82"/>
    </row>
    <row r="123" spans="4:4" x14ac:dyDescent="0.25">
      <c r="D123" s="82"/>
    </row>
    <row r="124" spans="4:4" x14ac:dyDescent="0.25">
      <c r="D124" s="82"/>
    </row>
    <row r="125" spans="4:4" x14ac:dyDescent="0.25">
      <c r="D125" s="82"/>
    </row>
    <row r="126" spans="4:4" x14ac:dyDescent="0.25">
      <c r="D126" s="82"/>
    </row>
    <row r="127" spans="4:4" x14ac:dyDescent="0.25">
      <c r="D127" s="82"/>
    </row>
    <row r="128" spans="4:4" x14ac:dyDescent="0.25">
      <c r="D128" s="82"/>
    </row>
    <row r="129" spans="4:4" x14ac:dyDescent="0.25">
      <c r="D129" s="82"/>
    </row>
    <row r="130" spans="4:4" x14ac:dyDescent="0.25">
      <c r="D130" s="82"/>
    </row>
    <row r="131" spans="4:4" x14ac:dyDescent="0.25">
      <c r="D131" s="82"/>
    </row>
    <row r="132" spans="4:4" x14ac:dyDescent="0.25">
      <c r="D132" s="82"/>
    </row>
    <row r="133" spans="4:4" x14ac:dyDescent="0.25">
      <c r="D133" s="82"/>
    </row>
    <row r="134" spans="4:4" x14ac:dyDescent="0.25">
      <c r="D134" s="82"/>
    </row>
    <row r="135" spans="4:4" x14ac:dyDescent="0.25">
      <c r="D135" s="82"/>
    </row>
    <row r="136" spans="4:4" x14ac:dyDescent="0.25">
      <c r="D136" s="82"/>
    </row>
    <row r="137" spans="4:4" x14ac:dyDescent="0.25">
      <c r="D137" s="82"/>
    </row>
    <row r="138" spans="4:4" x14ac:dyDescent="0.25">
      <c r="D138" s="82"/>
    </row>
    <row r="139" spans="4:4" x14ac:dyDescent="0.25">
      <c r="D139" s="82"/>
    </row>
    <row r="140" spans="4:4" x14ac:dyDescent="0.25">
      <c r="D140" s="82"/>
    </row>
    <row r="141" spans="4:4" x14ac:dyDescent="0.25">
      <c r="D141" s="82"/>
    </row>
    <row r="142" spans="4:4" x14ac:dyDescent="0.25">
      <c r="D142" s="82"/>
    </row>
    <row r="143" spans="4:4" x14ac:dyDescent="0.25">
      <c r="D143" s="82"/>
    </row>
    <row r="144" spans="4:4" x14ac:dyDescent="0.25">
      <c r="D144" s="82"/>
    </row>
    <row r="145" spans="4:4" x14ac:dyDescent="0.25">
      <c r="D145" s="82"/>
    </row>
    <row r="146" spans="4:4" x14ac:dyDescent="0.25">
      <c r="D146" s="82"/>
    </row>
    <row r="147" spans="4:4" x14ac:dyDescent="0.25">
      <c r="D147" s="82"/>
    </row>
    <row r="148" spans="4:4" x14ac:dyDescent="0.25">
      <c r="D148" s="82"/>
    </row>
    <row r="149" spans="4:4" x14ac:dyDescent="0.25">
      <c r="D149" s="82"/>
    </row>
    <row r="150" spans="4:4" x14ac:dyDescent="0.25">
      <c r="D150" s="82"/>
    </row>
    <row r="151" spans="4:4" x14ac:dyDescent="0.25">
      <c r="D151" s="82"/>
    </row>
    <row r="152" spans="4:4" x14ac:dyDescent="0.25">
      <c r="D152" s="82"/>
    </row>
    <row r="153" spans="4:4" x14ac:dyDescent="0.25">
      <c r="D153" s="82"/>
    </row>
    <row r="154" spans="4:4" x14ac:dyDescent="0.25">
      <c r="D154" s="82"/>
    </row>
    <row r="155" spans="4:4" x14ac:dyDescent="0.25">
      <c r="D155" s="82"/>
    </row>
    <row r="156" spans="4:4" x14ac:dyDescent="0.25">
      <c r="D156" s="82"/>
    </row>
    <row r="157" spans="4:4" x14ac:dyDescent="0.25">
      <c r="D157" s="82"/>
    </row>
    <row r="158" spans="4:4" x14ac:dyDescent="0.25">
      <c r="D158" s="82"/>
    </row>
    <row r="159" spans="4:4" x14ac:dyDescent="0.25">
      <c r="D159" s="82"/>
    </row>
    <row r="160" spans="4:4" x14ac:dyDescent="0.25">
      <c r="D160" s="82"/>
    </row>
    <row r="161" spans="4:4" x14ac:dyDescent="0.25">
      <c r="D161" s="82"/>
    </row>
    <row r="162" spans="4:4" x14ac:dyDescent="0.25">
      <c r="D162" s="82"/>
    </row>
    <row r="163" spans="4:4" x14ac:dyDescent="0.25">
      <c r="D163" s="82"/>
    </row>
    <row r="164" spans="4:4" x14ac:dyDescent="0.25">
      <c r="D164" s="82"/>
    </row>
    <row r="165" spans="4:4" x14ac:dyDescent="0.25">
      <c r="D165" s="82"/>
    </row>
    <row r="166" spans="4:4" x14ac:dyDescent="0.25">
      <c r="D166" s="82"/>
    </row>
    <row r="167" spans="4:4" x14ac:dyDescent="0.25">
      <c r="D167" s="82"/>
    </row>
    <row r="168" spans="4:4" x14ac:dyDescent="0.25">
      <c r="D168" s="82"/>
    </row>
    <row r="169" spans="4:4" x14ac:dyDescent="0.25">
      <c r="D169" s="82"/>
    </row>
    <row r="170" spans="4:4" x14ac:dyDescent="0.25">
      <c r="D170" s="82"/>
    </row>
    <row r="171" spans="4:4" x14ac:dyDescent="0.25">
      <c r="D171" s="82"/>
    </row>
    <row r="172" spans="4:4" x14ac:dyDescent="0.25">
      <c r="D172" s="82"/>
    </row>
    <row r="173" spans="4:4" x14ac:dyDescent="0.25">
      <c r="D173" s="82"/>
    </row>
    <row r="174" spans="4:4" x14ac:dyDescent="0.25">
      <c r="D174" s="82"/>
    </row>
    <row r="175" spans="4:4" x14ac:dyDescent="0.25">
      <c r="D175" s="82"/>
    </row>
    <row r="176" spans="4:4" x14ac:dyDescent="0.25">
      <c r="D176" s="82"/>
    </row>
    <row r="177" spans="4:4" x14ac:dyDescent="0.25">
      <c r="D177" s="82"/>
    </row>
    <row r="178" spans="4:4" x14ac:dyDescent="0.25">
      <c r="D178" s="82"/>
    </row>
    <row r="179" spans="4:4" x14ac:dyDescent="0.25">
      <c r="D179" s="82"/>
    </row>
    <row r="180" spans="4:4" x14ac:dyDescent="0.25">
      <c r="D180" s="82"/>
    </row>
    <row r="181" spans="4:4" x14ac:dyDescent="0.25">
      <c r="D181" s="82"/>
    </row>
    <row r="182" spans="4:4" x14ac:dyDescent="0.25">
      <c r="D182" s="82"/>
    </row>
    <row r="183" spans="4:4" x14ac:dyDescent="0.25">
      <c r="D183" s="82"/>
    </row>
    <row r="184" spans="4:4" x14ac:dyDescent="0.25">
      <c r="D184" s="82"/>
    </row>
    <row r="185" spans="4:4" x14ac:dyDescent="0.25">
      <c r="D185" s="82"/>
    </row>
    <row r="186" spans="4:4" x14ac:dyDescent="0.25">
      <c r="D186" s="82"/>
    </row>
  </sheetData>
  <dataValidations count="2">
    <dataValidation type="list" allowBlank="1" showInputMessage="1" showErrorMessage="1" sqref="F5" xr:uid="{55F149A4-9501-4EAF-B6A7-2BECECAF6DA3}">
      <formula1>FORNECEDOR</formula1>
    </dataValidation>
    <dataValidation type="list" allowBlank="1" showInputMessage="1" showErrorMessage="1" sqref="C5" xr:uid="{65ECA27F-97E4-4787-98E6-275440E43DD9}">
      <formula1>PRODUTOS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D1CF-1881-4973-AA97-A24FF27FFED2}">
  <sheetPr codeName="Planilha6"/>
  <dimension ref="A1:Z6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3"/>
  <cols>
    <col min="1" max="1" width="3.5703125" style="5" customWidth="1"/>
    <col min="2" max="2" width="42.7109375" style="5" bestFit="1" customWidth="1"/>
    <col min="3" max="3" width="32" style="5" bestFit="1" customWidth="1"/>
    <col min="4" max="4" width="19.7109375" style="50" customWidth="1"/>
    <col min="5" max="5" width="26.85546875" style="5" bestFit="1" customWidth="1"/>
    <col min="6" max="7" width="9.140625" style="5"/>
    <col min="8" max="8" width="12.140625" style="5" bestFit="1" customWidth="1"/>
    <col min="9" max="16384" width="9.140625" style="5"/>
  </cols>
  <sheetData>
    <row r="1" spans="1:26" ht="24.95" customHeight="1" x14ac:dyDescent="0.45">
      <c r="A1" s="3"/>
      <c r="B1" s="2" t="s">
        <v>74</v>
      </c>
      <c r="C1" s="3"/>
      <c r="D1" s="4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44" t="s">
        <v>56</v>
      </c>
      <c r="C3" s="45" t="s">
        <v>57</v>
      </c>
      <c r="D3" s="46" t="s">
        <v>14</v>
      </c>
      <c r="E3" s="47" t="s">
        <v>58</v>
      </c>
    </row>
    <row r="4" spans="1:26" x14ac:dyDescent="0.3">
      <c r="B4" s="5" t="s">
        <v>63</v>
      </c>
      <c r="C4" s="5" t="s">
        <v>64</v>
      </c>
      <c r="D4" s="48">
        <v>8591531155</v>
      </c>
      <c r="E4" s="49" t="s">
        <v>65</v>
      </c>
    </row>
    <row r="5" spans="1:26" x14ac:dyDescent="0.3">
      <c r="B5" s="5" t="s">
        <v>66</v>
      </c>
      <c r="C5" s="5" t="s">
        <v>67</v>
      </c>
      <c r="D5" s="48">
        <v>8533341509</v>
      </c>
      <c r="E5" s="49" t="s">
        <v>68</v>
      </c>
    </row>
    <row r="6" spans="1:26" x14ac:dyDescent="0.3">
      <c r="H6" s="51"/>
    </row>
  </sheetData>
  <hyperlinks>
    <hyperlink ref="E4" r:id="rId1" xr:uid="{91C3397D-4C63-4608-A4AA-808CE5915764}"/>
    <hyperlink ref="E5" r:id="rId2" xr:uid="{381D71D8-3347-4102-9252-399D27662042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09AE0-C28B-4C60-8A49-B3764EBC1BC2}">
  <sheetPr codeName="Planilha7"/>
  <dimension ref="A1:Z5"/>
  <sheetViews>
    <sheetView showGridLines="0" workbookViewId="0">
      <pane ySplit="3" topLeftCell="A4" activePane="bottomLeft" state="frozen"/>
      <selection pane="bottomLeft" activeCell="C4" sqref="C4"/>
    </sheetView>
  </sheetViews>
  <sheetFormatPr defaultRowHeight="16.5" x14ac:dyDescent="0.3"/>
  <cols>
    <col min="1" max="1" width="3.5703125" style="5" customWidth="1"/>
    <col min="2" max="2" width="32.85546875" style="5" customWidth="1"/>
    <col min="3" max="3" width="40.7109375" style="5" customWidth="1"/>
    <col min="4" max="4" width="24" style="5" customWidth="1"/>
    <col min="5" max="5" width="31.140625" style="5" customWidth="1"/>
    <col min="6" max="6" width="9.140625" style="5"/>
    <col min="7" max="7" width="13.28515625" style="5" bestFit="1" customWidth="1"/>
    <col min="8" max="16384" width="9.140625" style="5"/>
  </cols>
  <sheetData>
    <row r="1" spans="1:26" ht="24.95" customHeight="1" x14ac:dyDescent="0.45">
      <c r="A1" s="3"/>
      <c r="B1" s="2" t="s">
        <v>77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53" t="s">
        <v>56</v>
      </c>
      <c r="C3" s="53" t="s">
        <v>57</v>
      </c>
      <c r="D3" s="53" t="s">
        <v>14</v>
      </c>
      <c r="E3" s="53" t="s">
        <v>58</v>
      </c>
    </row>
    <row r="4" spans="1:26" x14ac:dyDescent="0.3">
      <c r="B4" s="5" t="s">
        <v>59</v>
      </c>
      <c r="C4" s="5" t="s">
        <v>60</v>
      </c>
      <c r="D4" s="51">
        <v>8533341510</v>
      </c>
      <c r="E4" s="49" t="s">
        <v>61</v>
      </c>
    </row>
    <row r="5" spans="1:26" x14ac:dyDescent="0.3">
      <c r="B5" s="5" t="s">
        <v>78</v>
      </c>
      <c r="C5" s="5" t="s">
        <v>79</v>
      </c>
      <c r="D5" s="51">
        <v>8533341510</v>
      </c>
      <c r="E5" s="1" t="s">
        <v>80</v>
      </c>
    </row>
  </sheetData>
  <phoneticPr fontId="3" type="noConversion"/>
  <hyperlinks>
    <hyperlink ref="E4" r:id="rId1" xr:uid="{A0227D03-B3DF-46E3-A61E-4CC9D1EA5373}"/>
    <hyperlink ref="E5" r:id="rId2" xr:uid="{1F35E8DA-DE89-4BBF-B8A9-22E9BAA37E87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813E-7648-4081-B3F3-7963D113D233}">
  <sheetPr codeName="Planilha4"/>
  <dimension ref="A1:Z19"/>
  <sheetViews>
    <sheetView showGridLines="0" workbookViewId="0">
      <pane ySplit="9" topLeftCell="A16" activePane="bottomLeft" state="frozen"/>
      <selection pane="bottomLeft" activeCell="B23" sqref="B23"/>
    </sheetView>
  </sheetViews>
  <sheetFormatPr defaultRowHeight="16.5" x14ac:dyDescent="0.3"/>
  <cols>
    <col min="1" max="1" width="3.5703125" style="5" customWidth="1"/>
    <col min="2" max="2" width="32.5703125" style="5" customWidth="1"/>
    <col min="3" max="3" width="14.7109375" style="5" customWidth="1"/>
    <col min="4" max="4" width="19.42578125" style="5" customWidth="1"/>
    <col min="5" max="5" width="21.85546875" style="39" bestFit="1" customWidth="1"/>
    <col min="6" max="6" width="20" style="14" customWidth="1"/>
    <col min="7" max="7" width="21" style="5" customWidth="1"/>
    <col min="8" max="8" width="20.140625" style="5" bestFit="1" customWidth="1"/>
    <col min="9" max="9" width="20.5703125" style="5" bestFit="1" customWidth="1"/>
    <col min="10" max="16384" width="9.140625" style="5"/>
  </cols>
  <sheetData>
    <row r="1" spans="1:26" ht="24.95" customHeight="1" x14ac:dyDescent="0.45">
      <c r="A1" s="3"/>
      <c r="B1" s="2" t="s">
        <v>81</v>
      </c>
      <c r="C1" s="3"/>
      <c r="D1" s="3"/>
      <c r="E1" s="54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5" spans="1:26" x14ac:dyDescent="0.3">
      <c r="B5" s="55" t="s">
        <v>0</v>
      </c>
      <c r="C5" s="55" t="s">
        <v>17</v>
      </c>
      <c r="D5" s="55" t="s">
        <v>47</v>
      </c>
      <c r="E5" s="56" t="s">
        <v>46</v>
      </c>
      <c r="F5" s="104" t="s">
        <v>48</v>
      </c>
      <c r="G5" s="105"/>
    </row>
    <row r="6" spans="1:26" x14ac:dyDescent="0.3">
      <c r="B6" s="57"/>
      <c r="C6" s="58"/>
      <c r="D6" s="59"/>
      <c r="E6" s="60"/>
      <c r="F6" s="61" t="s">
        <v>30</v>
      </c>
      <c r="G6" s="62">
        <v>0.3</v>
      </c>
    </row>
    <row r="7" spans="1:26" x14ac:dyDescent="0.3">
      <c r="B7" s="19"/>
      <c r="C7" s="19"/>
      <c r="D7" s="19"/>
      <c r="E7" s="63"/>
      <c r="F7" s="61" t="s">
        <v>31</v>
      </c>
      <c r="G7" s="62">
        <v>0.4</v>
      </c>
    </row>
    <row r="9" spans="1:26" x14ac:dyDescent="0.3">
      <c r="B9" s="5" t="s">
        <v>6</v>
      </c>
      <c r="C9" s="5" t="s">
        <v>17</v>
      </c>
      <c r="D9" s="5" t="s">
        <v>13</v>
      </c>
      <c r="E9" s="64" t="s">
        <v>46</v>
      </c>
      <c r="F9" s="14" t="s">
        <v>29</v>
      </c>
      <c r="G9" s="5" t="s">
        <v>32</v>
      </c>
      <c r="H9" s="5" t="s">
        <v>91</v>
      </c>
      <c r="I9" s="5" t="s">
        <v>92</v>
      </c>
    </row>
    <row r="10" spans="1:26" x14ac:dyDescent="0.3">
      <c r="B10" s="5" t="s">
        <v>7</v>
      </c>
      <c r="C10" s="5" t="s">
        <v>18</v>
      </c>
      <c r="D10" s="65">
        <v>39.9</v>
      </c>
      <c r="E10" s="39">
        <v>0.02</v>
      </c>
      <c r="F10" s="14">
        <f>TBPRODUTOS[[#This Row],[Preço De Custo]]*TBPRODUTOS[[#This Row],[GASTOS(%)]]+TBPRODUTOS[[#This Row],[Preço De Custo]]+TBPRODUTOS[[#This Row],[Preço De Custo]]*$G$6</f>
        <v>52.667999999999999</v>
      </c>
      <c r="G10" s="14">
        <f>TBPRODUTOS[[#This Row],[Preço De Custo]]*TBPRODUTOS[[#This Row],[GASTOS(%)]]+TBPRODUTOS[[#This Row],[Preço De Custo]]+TBPRODUTOS[[#This Row],[Preço De Custo]]*$G$7</f>
        <v>56.658000000000001</v>
      </c>
      <c r="H10" s="5">
        <v>10</v>
      </c>
      <c r="I10" s="5">
        <v>200</v>
      </c>
    </row>
    <row r="11" spans="1:26" x14ac:dyDescent="0.3">
      <c r="B11" s="5" t="s">
        <v>8</v>
      </c>
      <c r="C11" s="5" t="s">
        <v>18</v>
      </c>
      <c r="D11" s="65">
        <v>450.4</v>
      </c>
      <c r="E11" s="39">
        <v>0.05</v>
      </c>
      <c r="F11" s="14">
        <f>TBPRODUTOS[[#This Row],[Preço De Custo]]*TBPRODUTOS[[#This Row],[GASTOS(%)]]+TBPRODUTOS[[#This Row],[Preço De Custo]]+TBPRODUTOS[[#This Row],[Preço De Custo]]*$G$6</f>
        <v>608.04</v>
      </c>
      <c r="G11" s="14">
        <f>TBPRODUTOS[[#This Row],[Preço De Custo]]*TBPRODUTOS[[#This Row],[GASTOS(%)]]+TBPRODUTOS[[#This Row],[Preço De Custo]]+TBPRODUTOS[[#This Row],[Preço De Custo]]*$G$7</f>
        <v>653.07999999999993</v>
      </c>
      <c r="H11" s="5">
        <v>10</v>
      </c>
      <c r="I11" s="5">
        <v>200</v>
      </c>
    </row>
    <row r="12" spans="1:26" x14ac:dyDescent="0.3">
      <c r="B12" s="5" t="s">
        <v>9</v>
      </c>
      <c r="C12" s="5" t="s">
        <v>18</v>
      </c>
      <c r="D12" s="65">
        <v>198.5</v>
      </c>
      <c r="E12" s="39">
        <v>0.15</v>
      </c>
      <c r="F12" s="14">
        <f>TBPRODUTOS[[#This Row],[Preço De Custo]]*TBPRODUTOS[[#This Row],[GASTOS(%)]]+TBPRODUTOS[[#This Row],[Preço De Custo]]+TBPRODUTOS[[#This Row],[Preço De Custo]]*$G$6</f>
        <v>287.82499999999999</v>
      </c>
      <c r="G12" s="14">
        <f>TBPRODUTOS[[#This Row],[Preço De Custo]]*TBPRODUTOS[[#This Row],[GASTOS(%)]]+TBPRODUTOS[[#This Row],[Preço De Custo]]+TBPRODUTOS[[#This Row],[Preço De Custo]]*$G$7</f>
        <v>307.67500000000001</v>
      </c>
      <c r="H12" s="5">
        <v>10</v>
      </c>
      <c r="I12" s="5">
        <v>200</v>
      </c>
    </row>
    <row r="13" spans="1:26" x14ac:dyDescent="0.3">
      <c r="B13" s="5" t="s">
        <v>10</v>
      </c>
      <c r="C13" s="5" t="s">
        <v>18</v>
      </c>
      <c r="D13" s="65">
        <v>297.89999999999998</v>
      </c>
      <c r="E13" s="39">
        <v>0.05</v>
      </c>
      <c r="F13" s="14">
        <f>TBPRODUTOS[[#This Row],[Preço De Custo]]*TBPRODUTOS[[#This Row],[GASTOS(%)]]+TBPRODUTOS[[#This Row],[Preço De Custo]]+TBPRODUTOS[[#This Row],[Preço De Custo]]*$G$6</f>
        <v>402.16499999999996</v>
      </c>
      <c r="G13" s="14">
        <f>TBPRODUTOS[[#This Row],[Preço De Custo]]*TBPRODUTOS[[#This Row],[GASTOS(%)]]+TBPRODUTOS[[#This Row],[Preço De Custo]]+TBPRODUTOS[[#This Row],[Preço De Custo]]*$G$7</f>
        <v>431.95499999999993</v>
      </c>
      <c r="H13" s="5">
        <v>10</v>
      </c>
      <c r="I13" s="5">
        <v>200</v>
      </c>
    </row>
    <row r="14" spans="1:26" x14ac:dyDescent="0.3">
      <c r="B14" s="5" t="s">
        <v>11</v>
      </c>
      <c r="C14" s="5" t="s">
        <v>18</v>
      </c>
      <c r="D14" s="65">
        <v>148.5</v>
      </c>
      <c r="E14" s="39">
        <v>0.05</v>
      </c>
      <c r="F14" s="14">
        <f>TBPRODUTOS[[#This Row],[Preço De Custo]]*TBPRODUTOS[[#This Row],[GASTOS(%)]]+TBPRODUTOS[[#This Row],[Preço De Custo]]+TBPRODUTOS[[#This Row],[Preço De Custo]]*$G$6</f>
        <v>200.47500000000002</v>
      </c>
      <c r="G14" s="14">
        <f>TBPRODUTOS[[#This Row],[Preço De Custo]]*TBPRODUTOS[[#This Row],[GASTOS(%)]]+TBPRODUTOS[[#This Row],[Preço De Custo]]+TBPRODUTOS[[#This Row],[Preço De Custo]]*$G$7</f>
        <v>215.32500000000002</v>
      </c>
      <c r="H14" s="5">
        <v>10</v>
      </c>
      <c r="I14" s="5">
        <v>200</v>
      </c>
    </row>
    <row r="15" spans="1:26" x14ac:dyDescent="0.3">
      <c r="B15" s="5" t="s">
        <v>12</v>
      </c>
      <c r="C15" s="5" t="s">
        <v>18</v>
      </c>
      <c r="D15" s="65">
        <v>100</v>
      </c>
      <c r="E15" s="39">
        <v>0.05</v>
      </c>
      <c r="F15" s="14">
        <f>TBPRODUTOS[[#This Row],[Preço De Custo]]*TBPRODUTOS[[#This Row],[GASTOS(%)]]+TBPRODUTOS[[#This Row],[Preço De Custo]]+TBPRODUTOS[[#This Row],[Preço De Custo]]*$G$6</f>
        <v>135</v>
      </c>
      <c r="G15" s="14">
        <f>TBPRODUTOS[[#This Row],[Preço De Custo]]*TBPRODUTOS[[#This Row],[GASTOS(%)]]+TBPRODUTOS[[#This Row],[Preço De Custo]]+TBPRODUTOS[[#This Row],[Preço De Custo]]*$G$7</f>
        <v>145</v>
      </c>
      <c r="H15" s="5">
        <v>10</v>
      </c>
      <c r="I15" s="5">
        <v>200</v>
      </c>
    </row>
    <row r="16" spans="1:26" x14ac:dyDescent="0.3">
      <c r="B16" s="5" t="s">
        <v>49</v>
      </c>
      <c r="C16" s="5" t="s">
        <v>50</v>
      </c>
      <c r="D16" s="65">
        <v>9</v>
      </c>
      <c r="E16" s="39">
        <v>0.08</v>
      </c>
      <c r="F16" s="14">
        <f>TBPRODUTOS[[#This Row],[Preço De Custo]]*TBPRODUTOS[[#This Row],[GASTOS(%)]]+TBPRODUTOS[[#This Row],[Preço De Custo]]+TBPRODUTOS[[#This Row],[Preço De Custo]]*$G$6</f>
        <v>12.42</v>
      </c>
      <c r="G16" s="14">
        <f>TBPRODUTOS[[#This Row],[Preço De Custo]]*TBPRODUTOS[[#This Row],[GASTOS(%)]]+TBPRODUTOS[[#This Row],[Preço De Custo]]+TBPRODUTOS[[#This Row],[Preço De Custo]]*$G$7</f>
        <v>13.32</v>
      </c>
      <c r="H16" s="5">
        <v>10</v>
      </c>
      <c r="I16" s="5">
        <v>200</v>
      </c>
    </row>
    <row r="17" spans="2:9" x14ac:dyDescent="0.3">
      <c r="B17" s="5" t="s">
        <v>55</v>
      </c>
      <c r="C17" s="5" t="s">
        <v>50</v>
      </c>
      <c r="D17" s="65">
        <v>8</v>
      </c>
      <c r="E17" s="39">
        <v>0.1</v>
      </c>
      <c r="F17" s="14">
        <f>TBPRODUTOS[[#This Row],[Preço De Custo]]*TBPRODUTOS[[#This Row],[GASTOS(%)]]+TBPRODUTOS[[#This Row],[Preço De Custo]]+TBPRODUTOS[[#This Row],[Preço De Custo]]*$G$6</f>
        <v>11.200000000000001</v>
      </c>
      <c r="G17" s="14">
        <f>TBPRODUTOS[[#This Row],[Preço De Custo]]*TBPRODUTOS[[#This Row],[GASTOS(%)]]+TBPRODUTOS[[#This Row],[Preço De Custo]]+TBPRODUTOS[[#This Row],[Preço De Custo]]*$G$7</f>
        <v>12</v>
      </c>
      <c r="H17" s="5">
        <v>10</v>
      </c>
      <c r="I17" s="5">
        <v>200</v>
      </c>
    </row>
    <row r="18" spans="2:9" x14ac:dyDescent="0.3">
      <c r="B18" s="5" t="s">
        <v>72</v>
      </c>
      <c r="C18" s="5" t="s">
        <v>50</v>
      </c>
      <c r="D18" s="65">
        <v>15</v>
      </c>
      <c r="E18" s="39">
        <v>0.05</v>
      </c>
      <c r="F18" s="14">
        <f>TBPRODUTOS[[#This Row],[Preço De Custo]]*TBPRODUTOS[[#This Row],[GASTOS(%)]]+TBPRODUTOS[[#This Row],[Preço De Custo]]+TBPRODUTOS[[#This Row],[Preço De Custo]]*$G$6</f>
        <v>20.25</v>
      </c>
      <c r="G18" s="14">
        <f>TBPRODUTOS[[#This Row],[Preço De Custo]]*TBPRODUTOS[[#This Row],[GASTOS(%)]]+TBPRODUTOS[[#This Row],[Preço De Custo]]+TBPRODUTOS[[#This Row],[Preço De Custo]]*$G$7</f>
        <v>21.75</v>
      </c>
      <c r="H18" s="5">
        <v>10</v>
      </c>
      <c r="I18" s="5">
        <v>200</v>
      </c>
    </row>
    <row r="19" spans="2:9" x14ac:dyDescent="0.3">
      <c r="B19" s="5" t="s">
        <v>84</v>
      </c>
      <c r="C19" s="5" t="s">
        <v>50</v>
      </c>
      <c r="D19" s="65">
        <v>50</v>
      </c>
      <c r="E19" s="39">
        <v>0.05</v>
      </c>
      <c r="F19" s="14">
        <f>TBPRODUTOS[[#This Row],[Preço De Custo]]*TBPRODUTOS[[#This Row],[GASTOS(%)]]+TBPRODUTOS[[#This Row],[Preço De Custo]]+TBPRODUTOS[[#This Row],[Preço De Custo]]*$G$6</f>
        <v>67.5</v>
      </c>
      <c r="G19" s="14">
        <f>TBPRODUTOS[[#This Row],[Preço De Custo]]*TBPRODUTOS[[#This Row],[GASTOS(%)]]+TBPRODUTOS[[#This Row],[Preço De Custo]]+TBPRODUTOS[[#This Row],[Preço De Custo]]*$G$7</f>
        <v>72.5</v>
      </c>
      <c r="H19" s="5">
        <v>10</v>
      </c>
      <c r="I19" s="5">
        <v>200</v>
      </c>
    </row>
  </sheetData>
  <mergeCells count="1">
    <mergeCell ref="F5:G5"/>
  </mergeCells>
  <pageMargins left="0.511811024" right="0.511811024" top="0.78740157499999996" bottom="0.78740157499999996" header="0.31496062000000002" footer="0.31496062000000002"/>
  <ignoredErrors>
    <ignoredError sqref="F10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DASTRAR" altText="CADASTRAR">
                <anchor moveWithCells="1" sizeWithCells="1">
                  <from>
                    <xdr:col>2</xdr:col>
                    <xdr:colOff>361950</xdr:colOff>
                    <xdr:row>6</xdr:row>
                    <xdr:rowOff>76200</xdr:rowOff>
                  </from>
                  <to>
                    <xdr:col>3</xdr:col>
                    <xdr:colOff>619125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5CB1-6243-4328-8C6D-14A888CB1F5E}">
  <sheetPr codeName="Planilha8"/>
  <dimension ref="A1:Z5"/>
  <sheetViews>
    <sheetView showGridLines="0" workbookViewId="0">
      <selection activeCell="D2" sqref="D2"/>
    </sheetView>
  </sheetViews>
  <sheetFormatPr defaultRowHeight="16.5" x14ac:dyDescent="0.3"/>
  <cols>
    <col min="1" max="1" width="3.5703125" style="5" customWidth="1"/>
    <col min="2" max="2" width="36.7109375" style="5" customWidth="1"/>
    <col min="3" max="16384" width="9.140625" style="5"/>
  </cols>
  <sheetData>
    <row r="1" spans="1:26" ht="24.95" customHeight="1" x14ac:dyDescent="0.45">
      <c r="A1" s="3"/>
      <c r="B1" s="2" t="s">
        <v>82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3" spans="1:26" x14ac:dyDescent="0.3">
      <c r="B3" s="88" t="s">
        <v>69</v>
      </c>
    </row>
    <row r="4" spans="1:26" x14ac:dyDescent="0.3">
      <c r="B4" s="5" t="s">
        <v>70</v>
      </c>
    </row>
    <row r="5" spans="1:26" x14ac:dyDescent="0.3">
      <c r="B5" s="5" t="s">
        <v>83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E752-C1A8-44B0-ADB4-FBE0C7591139}">
  <sheetPr codeName="Planilha2"/>
  <dimension ref="A1:Z15"/>
  <sheetViews>
    <sheetView showGridLines="0" workbookViewId="0">
      <pane ySplit="3" topLeftCell="A4" activePane="bottomLeft" state="frozen"/>
      <selection pane="bottomLeft" activeCell="B2" sqref="B2"/>
    </sheetView>
  </sheetViews>
  <sheetFormatPr defaultRowHeight="16.5" x14ac:dyDescent="0.3"/>
  <cols>
    <col min="1" max="1" width="3.5703125" style="5" customWidth="1"/>
    <col min="2" max="2" width="17.28515625" style="67" customWidth="1"/>
    <col min="3" max="3" width="40.7109375" style="5" customWidth="1"/>
    <col min="4" max="4" width="17.42578125" style="29" customWidth="1"/>
    <col min="5" max="5" width="11.5703125" style="5" customWidth="1"/>
    <col min="6" max="6" width="39" style="5" customWidth="1"/>
    <col min="7" max="7" width="27" style="5" customWidth="1"/>
    <col min="8" max="8" width="20.85546875" style="5" bestFit="1" customWidth="1"/>
    <col min="9" max="16384" width="9.140625" style="5"/>
  </cols>
  <sheetData>
    <row r="1" spans="1:26" ht="24.95" customHeight="1" x14ac:dyDescent="0.45">
      <c r="A1" s="3"/>
      <c r="B1" s="2" t="s">
        <v>5</v>
      </c>
      <c r="C1" s="3"/>
      <c r="D1" s="7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4"/>
      <c r="C2" s="83"/>
      <c r="D2" s="85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3" spans="1:26" x14ac:dyDescent="0.3">
      <c r="B3" s="66" t="s">
        <v>34</v>
      </c>
      <c r="C3" s="53" t="s">
        <v>0</v>
      </c>
      <c r="D3" s="29" t="s">
        <v>5</v>
      </c>
      <c r="E3" s="53" t="s">
        <v>85</v>
      </c>
      <c r="F3" s="53" t="s">
        <v>86</v>
      </c>
      <c r="G3" s="53" t="s">
        <v>87</v>
      </c>
      <c r="H3" s="53" t="s">
        <v>22</v>
      </c>
    </row>
    <row r="4" spans="1:26" x14ac:dyDescent="0.3">
      <c r="B4" s="67">
        <v>44386</v>
      </c>
      <c r="C4" s="5" t="s">
        <v>7</v>
      </c>
      <c r="D4" s="29">
        <v>10</v>
      </c>
      <c r="E4" s="5" t="str">
        <f>TEXT(TBSAIDA[[#This Row],[DATA]],"MMM")</f>
        <v>jul</v>
      </c>
      <c r="F4" s="5" t="s">
        <v>66</v>
      </c>
      <c r="G4" s="5" t="s">
        <v>83</v>
      </c>
      <c r="H4" s="5">
        <v>372</v>
      </c>
    </row>
    <row r="5" spans="1:26" x14ac:dyDescent="0.3">
      <c r="B5" s="67">
        <v>44386</v>
      </c>
      <c r="C5" s="5" t="s">
        <v>7</v>
      </c>
      <c r="D5" s="29">
        <v>90</v>
      </c>
      <c r="E5" s="5" t="str">
        <f>TEXT(TBSAIDA[[#This Row],[DATA]],"MMM")</f>
        <v>jul</v>
      </c>
      <c r="F5" s="5" t="s">
        <v>66</v>
      </c>
      <c r="G5" s="5" t="s">
        <v>83</v>
      </c>
      <c r="H5" s="5">
        <v>372</v>
      </c>
    </row>
    <row r="6" spans="1:26" x14ac:dyDescent="0.3">
      <c r="B6" s="67">
        <v>44386</v>
      </c>
      <c r="C6" s="5" t="s">
        <v>7</v>
      </c>
      <c r="D6" s="29">
        <v>10</v>
      </c>
      <c r="E6" s="5" t="str">
        <f>TEXT(TBSAIDA[[#This Row],[DATA]],"MMM")</f>
        <v>jul</v>
      </c>
      <c r="F6" s="5" t="s">
        <v>66</v>
      </c>
      <c r="G6" s="5" t="s">
        <v>70</v>
      </c>
      <c r="H6" s="5">
        <v>372</v>
      </c>
    </row>
    <row r="7" spans="1:26" x14ac:dyDescent="0.3">
      <c r="B7" s="67">
        <v>44386</v>
      </c>
      <c r="C7" s="5" t="s">
        <v>49</v>
      </c>
      <c r="D7" s="29">
        <v>9</v>
      </c>
      <c r="E7" s="5" t="str">
        <f>TEXT(TBSAIDA[[#This Row],[DATA]],"MMM")</f>
        <v>jul</v>
      </c>
      <c r="F7" s="5" t="s">
        <v>66</v>
      </c>
      <c r="G7" s="5" t="s">
        <v>70</v>
      </c>
      <c r="H7" s="5">
        <v>372</v>
      </c>
    </row>
    <row r="8" spans="1:26" x14ac:dyDescent="0.3">
      <c r="B8" s="67">
        <v>44386</v>
      </c>
      <c r="C8" s="5" t="s">
        <v>7</v>
      </c>
      <c r="D8" s="29">
        <v>10</v>
      </c>
      <c r="E8" s="5" t="str">
        <f>TEXT(TBSAIDA[[#This Row],[DATA]],"MMM")</f>
        <v>jul</v>
      </c>
      <c r="F8" s="5" t="s">
        <v>63</v>
      </c>
      <c r="G8" s="5" t="s">
        <v>70</v>
      </c>
      <c r="H8" s="5">
        <v>372</v>
      </c>
    </row>
    <row r="9" spans="1:26" x14ac:dyDescent="0.3">
      <c r="B9" s="67">
        <v>44386</v>
      </c>
      <c r="C9" s="5" t="s">
        <v>12</v>
      </c>
      <c r="D9" s="29">
        <v>10</v>
      </c>
      <c r="E9" s="5" t="str">
        <f>TEXT(TBSAIDA[[#This Row],[DATA]],"MMM")</f>
        <v>jul</v>
      </c>
      <c r="F9" s="5" t="s">
        <v>63</v>
      </c>
      <c r="G9" s="5" t="s">
        <v>70</v>
      </c>
      <c r="H9" s="5">
        <v>372</v>
      </c>
    </row>
    <row r="10" spans="1:26" x14ac:dyDescent="0.3">
      <c r="B10" s="67">
        <v>44386</v>
      </c>
      <c r="C10" s="5" t="s">
        <v>49</v>
      </c>
      <c r="D10" s="29">
        <v>10</v>
      </c>
      <c r="E10" s="5" t="str">
        <f>TEXT(TBSAIDA[[#This Row],[DATA]],"MMM")</f>
        <v>jul</v>
      </c>
      <c r="F10" s="5" t="s">
        <v>63</v>
      </c>
      <c r="G10" s="5" t="s">
        <v>70</v>
      </c>
      <c r="H10" s="5">
        <v>372</v>
      </c>
    </row>
    <row r="11" spans="1:26" x14ac:dyDescent="0.3">
      <c r="B11" s="67">
        <v>44386</v>
      </c>
      <c r="C11" s="5" t="s">
        <v>84</v>
      </c>
      <c r="D11" s="29">
        <v>5</v>
      </c>
      <c r="E11" s="5" t="str">
        <f>TEXT(TBSAIDA[[#This Row],[DATA]],"MMM")</f>
        <v>jul</v>
      </c>
      <c r="F11" s="5" t="s">
        <v>63</v>
      </c>
      <c r="G11" s="5" t="s">
        <v>83</v>
      </c>
      <c r="H11" s="5">
        <v>386</v>
      </c>
    </row>
    <row r="12" spans="1:26" x14ac:dyDescent="0.3">
      <c r="B12" s="67">
        <v>44386</v>
      </c>
      <c r="C12" s="5" t="s">
        <v>55</v>
      </c>
      <c r="D12" s="29">
        <v>490</v>
      </c>
      <c r="E12" s="5" t="str">
        <f>TEXT(TBSAIDA[[#This Row],[DATA]],"MMM")</f>
        <v>jul</v>
      </c>
      <c r="F12" s="5" t="s">
        <v>63</v>
      </c>
      <c r="G12" s="5" t="s">
        <v>83</v>
      </c>
      <c r="H12" s="5">
        <v>387</v>
      </c>
    </row>
    <row r="13" spans="1:26" x14ac:dyDescent="0.3">
      <c r="B13" s="67">
        <v>44386</v>
      </c>
      <c r="C13" s="5" t="s">
        <v>55</v>
      </c>
      <c r="D13" s="29">
        <v>1</v>
      </c>
      <c r="E13" s="5" t="str">
        <f>TEXT(TBSAIDA[[#This Row],[DATA]],"MMM")</f>
        <v>jul</v>
      </c>
      <c r="F13" s="5" t="s">
        <v>63</v>
      </c>
      <c r="G13" s="5" t="s">
        <v>70</v>
      </c>
      <c r="H13" s="5">
        <v>388</v>
      </c>
    </row>
    <row r="14" spans="1:26" x14ac:dyDescent="0.3">
      <c r="B14" s="67">
        <v>44386</v>
      </c>
      <c r="C14" s="5" t="s">
        <v>7</v>
      </c>
      <c r="D14" s="29">
        <v>165</v>
      </c>
      <c r="E14" s="5" t="str">
        <f>TEXT(TBSAIDA[[#This Row],[DATA]],"MMM")</f>
        <v>jul</v>
      </c>
      <c r="F14" s="5" t="s">
        <v>63</v>
      </c>
      <c r="G14" s="5" t="s">
        <v>70</v>
      </c>
      <c r="H14" s="5">
        <v>388</v>
      </c>
    </row>
    <row r="15" spans="1:26" x14ac:dyDescent="0.3">
      <c r="B15" s="67">
        <v>44389</v>
      </c>
      <c r="C15" s="5" t="s">
        <v>11</v>
      </c>
      <c r="D15" s="29">
        <v>50</v>
      </c>
      <c r="E15" s="5" t="str">
        <f>TEXT(TBSAIDA[[#This Row],[DATA]],"MMM")</f>
        <v>jul</v>
      </c>
      <c r="F15" s="5" t="s">
        <v>63</v>
      </c>
      <c r="G15" s="5" t="s">
        <v>70</v>
      </c>
      <c r="H15" s="5">
        <v>389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87E8-4AF6-43A3-8AB2-DE90497D5E3C}">
  <sheetPr codeName="Planilha9"/>
  <dimension ref="A1:Z15"/>
  <sheetViews>
    <sheetView showGridLines="0" workbookViewId="0">
      <selection activeCell="E17" sqref="E17"/>
    </sheetView>
  </sheetViews>
  <sheetFormatPr defaultRowHeight="16.5" x14ac:dyDescent="0.3"/>
  <cols>
    <col min="1" max="1" width="3.5703125" style="5" customWidth="1"/>
    <col min="2" max="2" width="17.28515625" style="5" customWidth="1"/>
    <col min="3" max="3" width="39.42578125" style="5" customWidth="1"/>
    <col min="4" max="4" width="17.85546875" style="29" customWidth="1"/>
    <col min="5" max="5" width="27.7109375" style="5" customWidth="1"/>
    <col min="6" max="6" width="28.28515625" style="5" bestFit="1" customWidth="1"/>
    <col min="7" max="7" width="20.85546875" style="5" bestFit="1" customWidth="1"/>
    <col min="8" max="16384" width="9.140625" style="5"/>
  </cols>
  <sheetData>
    <row r="1" spans="1:26" ht="24.95" customHeight="1" x14ac:dyDescent="0.45">
      <c r="A1" s="3"/>
      <c r="B1" s="2" t="s">
        <v>16</v>
      </c>
      <c r="C1" s="3"/>
      <c r="D1" s="7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s="19" customFormat="1" x14ac:dyDescent="0.3">
      <c r="A2" s="86"/>
      <c r="B2" s="86"/>
      <c r="C2" s="86"/>
      <c r="D2" s="87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</row>
    <row r="3" spans="1:26" s="19" customFormat="1" x14ac:dyDescent="0.3">
      <c r="B3" s="69" t="s">
        <v>34</v>
      </c>
      <c r="C3" s="70" t="s">
        <v>0</v>
      </c>
      <c r="D3" s="72" t="s">
        <v>16</v>
      </c>
      <c r="E3" s="70" t="s">
        <v>85</v>
      </c>
      <c r="F3" s="70" t="s">
        <v>62</v>
      </c>
      <c r="G3" s="70" t="s">
        <v>88</v>
      </c>
    </row>
    <row r="4" spans="1:26" x14ac:dyDescent="0.3">
      <c r="B4" s="67">
        <v>44386</v>
      </c>
      <c r="C4" s="5" t="s">
        <v>84</v>
      </c>
      <c r="D4" s="29">
        <v>10</v>
      </c>
      <c r="E4" s="53" t="str">
        <f>TEXT(TBENTRADA[[#This Row],[DATA]],"MMM")</f>
        <v>jul</v>
      </c>
      <c r="F4" s="5" t="s">
        <v>59</v>
      </c>
      <c r="G4" s="5" t="s">
        <v>94</v>
      </c>
    </row>
    <row r="5" spans="1:26" x14ac:dyDescent="0.3">
      <c r="B5" s="67">
        <v>44386</v>
      </c>
      <c r="C5" s="5" t="s">
        <v>49</v>
      </c>
      <c r="D5" s="29">
        <v>9</v>
      </c>
      <c r="E5" s="53" t="str">
        <f>TEXT(TBENTRADA[[#This Row],[DATA]],"MMM")</f>
        <v>jul</v>
      </c>
      <c r="F5" s="5" t="s">
        <v>59</v>
      </c>
      <c r="G5" s="5" t="s">
        <v>95</v>
      </c>
    </row>
    <row r="6" spans="1:26" x14ac:dyDescent="0.3">
      <c r="B6" s="67">
        <v>44386</v>
      </c>
      <c r="C6" s="5" t="s">
        <v>7</v>
      </c>
      <c r="D6" s="29">
        <v>500</v>
      </c>
      <c r="E6" s="53" t="str">
        <f>TEXT(TBENTRADA[[#This Row],[DATA]],"MMM")</f>
        <v>jul</v>
      </c>
      <c r="F6" s="5" t="s">
        <v>59</v>
      </c>
      <c r="G6" s="5" t="s">
        <v>96</v>
      </c>
    </row>
    <row r="7" spans="1:26" x14ac:dyDescent="0.3">
      <c r="B7" s="67">
        <v>44386</v>
      </c>
      <c r="C7" s="5" t="s">
        <v>49</v>
      </c>
      <c r="D7" s="29">
        <v>500</v>
      </c>
      <c r="E7" s="53" t="str">
        <f>TEXT(TBENTRADA[[#This Row],[DATA]],"MMM")</f>
        <v>jul</v>
      </c>
      <c r="F7" s="5" t="s">
        <v>59</v>
      </c>
      <c r="G7" s="5" t="s">
        <v>97</v>
      </c>
    </row>
    <row r="8" spans="1:26" x14ac:dyDescent="0.3">
      <c r="B8" s="67">
        <v>44386</v>
      </c>
      <c r="C8" s="5" t="s">
        <v>8</v>
      </c>
      <c r="D8" s="29">
        <v>500</v>
      </c>
      <c r="E8" s="53" t="str">
        <f>TEXT(TBENTRADA[[#This Row],[DATA]],"MMM")</f>
        <v>jul</v>
      </c>
      <c r="F8" s="5" t="s">
        <v>59</v>
      </c>
      <c r="G8" s="5" t="s">
        <v>93</v>
      </c>
    </row>
    <row r="9" spans="1:26" x14ac:dyDescent="0.3">
      <c r="B9" s="67">
        <v>44386</v>
      </c>
      <c r="C9" s="5" t="s">
        <v>10</v>
      </c>
      <c r="D9" s="29">
        <v>500</v>
      </c>
      <c r="E9" s="53" t="str">
        <f>TEXT(TBENTRADA[[#This Row],[DATA]],"MMM")</f>
        <v>jul</v>
      </c>
      <c r="F9" s="5" t="s">
        <v>59</v>
      </c>
      <c r="G9" s="5" t="s">
        <v>93</v>
      </c>
    </row>
    <row r="10" spans="1:26" x14ac:dyDescent="0.3">
      <c r="B10" s="67">
        <v>44386</v>
      </c>
      <c r="C10" s="5" t="s">
        <v>11</v>
      </c>
      <c r="D10" s="29">
        <v>500</v>
      </c>
      <c r="E10" s="53" t="str">
        <f>TEXT(TBENTRADA[[#This Row],[DATA]],"MMM")</f>
        <v>jul</v>
      </c>
      <c r="F10" s="5" t="s">
        <v>78</v>
      </c>
      <c r="G10" s="5" t="s">
        <v>98</v>
      </c>
    </row>
    <row r="11" spans="1:26" x14ac:dyDescent="0.3">
      <c r="B11" s="67">
        <v>44386</v>
      </c>
      <c r="C11" s="5" t="s">
        <v>12</v>
      </c>
      <c r="D11" s="29">
        <v>500</v>
      </c>
      <c r="E11" s="53" t="str">
        <f>TEXT(TBENTRADA[[#This Row],[DATA]],"MMM")</f>
        <v>jul</v>
      </c>
      <c r="F11" s="5" t="s">
        <v>59</v>
      </c>
      <c r="G11" s="5" t="s">
        <v>99</v>
      </c>
    </row>
    <row r="12" spans="1:26" x14ac:dyDescent="0.3">
      <c r="B12" s="67">
        <v>44386</v>
      </c>
      <c r="C12" s="5" t="s">
        <v>12</v>
      </c>
      <c r="D12" s="29">
        <v>100</v>
      </c>
      <c r="E12" s="53" t="str">
        <f>TEXT(TBENTRADA[[#This Row],[DATA]],"MMM")</f>
        <v>jul</v>
      </c>
      <c r="F12" s="5" t="s">
        <v>78</v>
      </c>
      <c r="G12" s="5" t="s">
        <v>100</v>
      </c>
    </row>
    <row r="13" spans="1:26" x14ac:dyDescent="0.3">
      <c r="B13" s="67">
        <v>44386</v>
      </c>
      <c r="C13" s="5" t="s">
        <v>12</v>
      </c>
      <c r="D13" s="29">
        <v>100</v>
      </c>
      <c r="E13" s="53" t="str">
        <f>TEXT(TBENTRADA[[#This Row],[DATA]],"MMM")</f>
        <v>jul</v>
      </c>
      <c r="F13" s="5" t="s">
        <v>78</v>
      </c>
      <c r="G13" s="5" t="s">
        <v>101</v>
      </c>
    </row>
    <row r="14" spans="1:26" x14ac:dyDescent="0.3">
      <c r="B14" s="67">
        <v>44386</v>
      </c>
      <c r="C14" s="5" t="s">
        <v>55</v>
      </c>
      <c r="D14" s="29">
        <v>500</v>
      </c>
      <c r="E14" s="53" t="str">
        <f>TEXT(TBENTRADA[[#This Row],[DATA]],"MMM")</f>
        <v>jul</v>
      </c>
      <c r="F14" s="5" t="s">
        <v>59</v>
      </c>
      <c r="G14" s="5" t="s">
        <v>102</v>
      </c>
    </row>
    <row r="15" spans="1:26" x14ac:dyDescent="0.3">
      <c r="B15" s="67">
        <v>44387</v>
      </c>
      <c r="C15" s="5" t="s">
        <v>9</v>
      </c>
      <c r="D15" s="29">
        <v>500</v>
      </c>
      <c r="E15" s="53" t="str">
        <f>TEXT(TBENTRADA[[#This Row],[DATA]],"MMM")</f>
        <v>jul</v>
      </c>
      <c r="F15" s="5" t="s">
        <v>78</v>
      </c>
      <c r="G15" s="5" t="s">
        <v>103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6</vt:i4>
      </vt:variant>
    </vt:vector>
  </HeadingPairs>
  <TitlesOfParts>
    <vt:vector size="17" baseType="lpstr">
      <vt:lpstr>VENDAS</vt:lpstr>
      <vt:lpstr>ENTRADAS</vt:lpstr>
      <vt:lpstr>ESTOQUE</vt:lpstr>
      <vt:lpstr>RELSAIDAS</vt:lpstr>
      <vt:lpstr>RELENTRADAS</vt:lpstr>
      <vt:lpstr>CADCLIENTE</vt:lpstr>
      <vt:lpstr>CADFORNECEDOR</vt:lpstr>
      <vt:lpstr>CADPRODUTOS</vt:lpstr>
      <vt:lpstr>CADVENDEDOR</vt:lpstr>
      <vt:lpstr>BASESAIDA</vt:lpstr>
      <vt:lpstr>BASEENTRADA</vt:lpstr>
      <vt:lpstr>ENTRADAS!Area_de_impressao</vt:lpstr>
      <vt:lpstr>VENDAS!Area_de_impressao</vt:lpstr>
      <vt:lpstr>CLIENTE</vt:lpstr>
      <vt:lpstr>FORNECEDOR</vt:lpstr>
      <vt:lpstr>PRODUTOS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 Vieira</dc:creator>
  <cp:lastModifiedBy>Francisco Cleber vieira Lopes Vieira</cp:lastModifiedBy>
  <cp:lastPrinted>2021-07-08T12:05:25Z</cp:lastPrinted>
  <dcterms:created xsi:type="dcterms:W3CDTF">2021-07-01T16:24:29Z</dcterms:created>
  <dcterms:modified xsi:type="dcterms:W3CDTF">2021-10-09T13:12:19Z</dcterms:modified>
</cp:coreProperties>
</file>